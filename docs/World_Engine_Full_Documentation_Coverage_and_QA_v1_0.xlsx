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e2d987e52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d298f368c31241dc"/>
    <x:sheet xmlns:r="http://schemas.openxmlformats.org/officeDocument/2006/relationships" name="Coverage Summary" sheetId="2" r:id="R29905e9d2eb340c2"/>
    <x:sheet xmlns:r="http://schemas.openxmlformats.org/officeDocument/2006/relationships" name="Source Files" sheetId="3" r:id="R14db584ccd1847aa"/>
    <x:sheet xmlns:r="http://schemas.openxmlformats.org/officeDocument/2006/relationships" name="Output QA" sheetId="4" r:id="Rd02b785d34084c5c"/>
    <x:sheet xmlns:r="http://schemas.openxmlformats.org/officeDocument/2006/relationships" name="Content Coverage" sheetId="5" r:id="R2f8ec7a6682a4040"/>
    <x:sheet xmlns:r="http://schemas.openxmlformats.org/officeDocument/2006/relationships" name="Images and Diagrams" sheetId="6" r:id="R3b5a0d374db1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mmm\ d\,\ yyyy"/>
    <x:numFmt numFmtId="165" formatCode="#,##0;[Red]\(#,##0\);\-"/>
    <x:numFmt numFmtId="166" formatCode="mmm\ d"/>
    <x:numFmt numFmtId="167" formatCode=";;;"/>
    <x:numFmt numFmtId="200" formatCode="yyyy-mm-dd"/>
    <x:numFmt numFmtId="201" formatCode="#,##0"/>
    <x:numFmt numFmtId="202" formatCode="mmm d"/>
  </x:numFmts>
  <x:fonts count="19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b/>
      <x:sz val="16"/>
      <x:color rgb="FF3F3296"/>
      <x:name val="Arial"/>
    </x:font>
    <x:font>
      <x:i/>
      <x:sz val="10"/>
      <x:color rgb="FF5F6368"/>
      <x:name val="Arial"/>
    </x:font>
    <x:font>
      <x:b/>
      <x:sz val="10"/>
      <x:color rgb="FFFFFFFF"/>
      <x:name val="Arial"/>
    </x:font>
    <x:font>
      <x:sz val="9"/>
      <x:color rgb="FF202124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3F3296"/>
      </x:patternFill>
    </x:fill>
    <x:fill>
      <x:patternFill patternType="solid">
        <x:fgColor rgb="FFFFFFFF"/>
      </x:patternFill>
    </x:fill>
    <x:fill>
      <x:patternFill patternType="solid">
        <x:fgColor rgb="FFF7F7FA"/>
      </x:patternFill>
    </x:fill>
  </x:fills>
  <x:borders count="18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  <x:border>
      <x:bottom style="medium">
        <x:color rgb="FF3F3296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84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0" fillId="6" borderId="1" xfId="0" applyNumberFormat="1" applyFont="1" applyFill="1" applyBorder="1" applyAlignment="1">
      <x:alignment horizontal="center" vertical="center" wrapText="1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  <x:xf numFmtId="200" fontId="14" fillId="5" borderId="2" xfId="0" applyNumberFormat="1" applyFont="1" applyFill="1" applyBorder="1" applyAlignment="1">
      <x:alignment horizontal="left" vertical="center"/>
    </x:xf>
    <x:xf numFmtId="201" fontId="6" fillId="3" borderId="3" xfId="0" applyNumberFormat="1" applyFont="1" applyFill="1" applyBorder="1" applyAlignment="1">
      <x:alignment horizontal="center" vertical="center"/>
    </x:xf>
    <x:xf numFmtId="201" fontId="7" fillId="3" borderId="3" xfId="0" applyNumberFormat="1" applyFont="1" applyFill="1" applyBorder="1" applyAlignment="1">
      <x:alignment horizontal="center" vertical="center"/>
    </x:xf>
    <x:xf numFmtId="201" fontId="8" fillId="3" borderId="3" xfId="0" applyNumberFormat="1" applyFont="1" applyFill="1" applyBorder="1" applyAlignment="1">
      <x:alignment horizontal="center" vertical="center"/>
    </x:xf>
    <x:xf numFmtId="201" fontId="9" fillId="3" borderId="3" xfId="0" applyNumberFormat="1" applyFont="1" applyFill="1" applyBorder="1" applyAlignment="1">
      <x:alignment horizontal="center" vertical="center"/>
    </x:xf>
    <x:xf numFmtId="202" fontId="10" fillId="6" borderId="1" xfId="0" applyNumberFormat="1" applyFont="1" applyFill="1" applyBorder="1" applyAlignment="1">
      <x:alignment horizontal="center" vertical="center" wrapText="1"/>
    </x:xf>
    <x:xf numFmtId="201" fontId="11" fillId="3" borderId="1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14" xfId="0" applyNumberFormat="1" applyFont="1" applyFill="1" applyBorder="1"/>
    <x:xf numFmtId="0" fontId="16" fillId="0" borderId="0" xfId="0" applyNumberFormat="1" applyFont="1" applyFill="1" applyBorder="1"/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15" xfId="0" applyNumberFormat="1" applyFont="1" applyFill="1" applyBorder="1"/>
    <x:xf numFmtId="0" fontId="17" fillId="9" borderId="16" xfId="0" applyNumberFormat="1" applyFont="1" applyFill="1" applyBorder="1"/>
    <x:xf numFmtId="0" fontId="17" fillId="9" borderId="17" xfId="0" applyNumberFormat="1" applyFont="1" applyFill="1" applyBorder="1"/>
    <x:xf numFmtId="0" fontId="17" fillId="9" borderId="15" xfId="0" applyNumberFormat="1" applyFont="1" applyFill="1" applyBorder="1" applyAlignment="1">
      <x:alignment wrapText="1"/>
    </x:xf>
    <x:xf numFmtId="0" fontId="17" fillId="9" borderId="16" xfId="0" applyNumberFormat="1" applyFont="1" applyFill="1" applyBorder="1" applyAlignment="1">
      <x:alignment wrapText="1"/>
    </x:xf>
    <x:xf numFmtId="0" fontId="17" fillId="9" borderId="17" xfId="0" applyNumberFormat="1" applyFont="1" applyFill="1" applyBorder="1" applyAlignment="1">
      <x:alignment wrapText="1"/>
    </x:xf>
    <x:xf numFmtId="0" fontId="17" fillId="9" borderId="15" xfId="0" applyNumberFormat="1" applyFont="1" applyFill="1" applyBorder="1" applyAlignment="1">
      <x:alignment horizontal="center" wrapText="1"/>
    </x:xf>
    <x:xf numFmtId="0" fontId="17" fillId="9" borderId="16" xfId="0" applyNumberFormat="1" applyFont="1" applyFill="1" applyBorder="1" applyAlignment="1">
      <x:alignment horizontal="center" wrapText="1"/>
    </x:xf>
    <x:xf numFmtId="0" fontId="17" fillId="9" borderId="17" xfId="0" applyNumberFormat="1" applyFont="1" applyFill="1" applyBorder="1" applyAlignment="1">
      <x:alignment horizontal="center" wrapText="1"/>
    </x:xf>
    <x:xf numFmtId="0" fontId="17" fillId="9" borderId="15" xfId="0" applyNumberFormat="1" applyFont="1" applyFill="1" applyBorder="1" applyAlignment="1">
      <x:alignment horizontal="center" vertical="center" wrapText="1"/>
    </x:xf>
    <x:xf numFmtId="0" fontId="17" fillId="9" borderId="16" xfId="0" applyNumberFormat="1" applyFont="1" applyFill="1" applyBorder="1" applyAlignment="1">
      <x:alignment horizontal="center" vertical="center" wrapText="1"/>
    </x:xf>
    <x:xf numFmtId="0" fontId="17" fillId="9" borderId="17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vertical="top"/>
    </x:xf>
    <x:xf numFmtId="0" fontId="18" fillId="10" borderId="0" xfId="0" applyNumberFormat="1" applyFont="1" applyFill="1" applyBorder="1" applyAlignment="1">
      <x:alignment vertical="top" wrapText="1"/>
    </x:xf>
    <x:xf numFmtId="0" fontId="18" fillId="11" borderId="0" xfId="0" applyNumberFormat="1" applyFont="1" applyFill="1" applyBorder="1" applyAlignment="1">
      <x:alignment vertical="top" wrapText="1"/>
    </x:xf>
    <x:xf numFmtId="201" fontId="18" fillId="10" borderId="0" xfId="0" applyNumberFormat="1" applyFont="1" applyFill="1" applyBorder="1" applyAlignment="1">
      <x:alignment vertical="top" wrapText="1"/>
    </x:xf>
    <x:xf numFmtId="201" fontId="18" fillId="11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2F6B2F"/>
      </x:font>
      <x:fill>
        <x:patternFill patternType="solid">
          <x:bgColor rgb="FFE2F0D9"/>
        </x:patternFill>
      </x:fill>
    </x:dxf>
    <x:dxf>
      <x:font>
        <x:color rgb="FF2F6B2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826c7acbb429c" /><Relationship Type="http://schemas.openxmlformats.org/officeDocument/2006/relationships/theme" Target="/xl/theme/theme1.xml" Id="R2703e93a93624bf6" /><Relationship Type="http://schemas.openxmlformats.org/officeDocument/2006/relationships/sharedStrings" Target="/xl/sharedStrings.xml" Id="R05ffb0105c874ea1" /><Relationship Type="http://schemas.openxmlformats.org/officeDocument/2006/relationships/worksheet" Target="/xl/worksheets/sheet1.xml" Id="Rd298f368c31241dc" /><Relationship Type="http://schemas.openxmlformats.org/officeDocument/2006/relationships/worksheet" Target="/xl/worksheets/sheet2.xml" Id="R29905e9d2eb340c2" /><Relationship Type="http://schemas.openxmlformats.org/officeDocument/2006/relationships/worksheet" Target="/xl/worksheets/sheet3.xml" Id="R14db584ccd1847aa" /><Relationship Type="http://schemas.openxmlformats.org/officeDocument/2006/relationships/worksheet" Target="/xl/worksheets/sheet4.xml" Id="Rd02b785d34084c5c" /><Relationship Type="http://schemas.openxmlformats.org/officeDocument/2006/relationships/worksheet" Target="/xl/worksheets/sheet5.xml" Id="R2f8ec7a6682a4040" /><Relationship Type="http://schemas.openxmlformats.org/officeDocument/2006/relationships/worksheet" Target="/xl/worksheets/sheet6.xml" Id="R3b5a0d374db14136" /></Relationships>
</file>

<file path=xl/tables/table1.xml><?xml version="1.0" encoding="utf-8"?>
<x:table xmlns:x="http://schemas.openxmlformats.org/spreadsheetml/2006/main" id="1" name="CoverageSummaryTable" displayName="CoverageSummaryTable" ref="A4:D17" headerRowCount="1" totalsRowCount="0" totalsRowShown="0">
  <x:autoFilter ref="A4:D17"/>
  <x:tableColumns count="4">
    <x:tableColumn id="1" name="Metric"/>
    <x:tableColumn id="2" name="Current"/>
    <x:tableColumn id="3" name="Required"/>
    <x:tableColumn id="4" name="Check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ourceFilesTable" displayName="SourceFilesTable" ref="A4:M170" headerRowCount="1" totalsRowCount="0" totalsRowShown="0">
  <x:autoFilter ref="A4:M170"/>
  <x:tableColumns count="13">
    <x:tableColumn id="1" name="Source path"/>
    <x:tableColumn id="2" name="Type"/>
    <x:tableColumn id="3" name="Logical ID"/>
    <x:tableColumn id="4" name="Language"/>
    <x:tableColumn id="5" name="Role"/>
    <x:tableColumn id="6" name="Output count"/>
    <x:tableColumn id="7" name="Output documents"/>
    <x:tableColumn id="8" name="Repository state"/>
    <x:tableColumn id="9" name="Bytes"/>
    <x:tableColumn id="10" name="SHA-256"/>
    <x:tableColumn id="11" name="Coverage"/>
    <x:tableColumn id="12" name="Destination documents"/>
    <x:tableColumn id="13" name="Unsupported row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OutputQATable" displayName="OutputQATable" ref="A4:R63" headerRowCount="1" totalsRowCount="0" totalsRowShown="0">
  <x:autoFilter ref="A4:R63"/>
  <x:tableColumns count="18">
    <x:tableColumn id="1" name="ID"/>
    <x:tableColumn id="2" name="Language"/>
    <x:tableColumn id="3" name="Version"/>
    <x:tableColumn id="4" name="Output document"/>
    <x:tableColumn id="5" name="Repository destination"/>
    <x:tableColumn id="6" name="Bytes"/>
    <x:tableColumn id="7" name="Pages"/>
    <x:tableColumn id="8" name="Words"/>
    <x:tableColumn id="9" name="Paragraphs"/>
    <x:tableColumn id="10" name="Tables"/>
    <x:tableColumn id="11" name="Headings"/>
    <x:tableColumn id="12" name="Images"/>
    <x:tableColumn id="13" name="Coverage rows"/>
    <x:tableColumn id="14" name="A11y high"/>
    <x:tableColumn id="15" name="A11y medium"/>
    <x:tableColumn id="16" name="Structural QA"/>
    <x:tableColumn id="17" name="Page QA"/>
    <x:tableColumn id="18" name="Overall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ntentCoverageTable" displayName="ContentCoverageTable" ref="A4:I170" headerRowCount="1" totalsRowCount="0" totalsRowShown="0">
  <x:autoFilter ref="A4:I170"/>
  <x:tableColumns count="9">
    <x:tableColumn id="1" name="Source path"/>
    <x:tableColumn id="2" name="Content kinds"/>
    <x:tableColumn id="3" name="Coverage rows"/>
    <x:tableColumn id="4" name="Included"/>
    <x:tableColumn id="5" name="Exact duplicates"/>
    <x:tableColumn id="6" name="Packaging excluded"/>
    <x:tableColumn id="7" name="Empty excluded"/>
    <x:tableColumn id="8" name="Unsupported"/>
    <x:tableColumn id="9" name="Coverag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VisualAssetsTable" displayName="VisualAssetsTable" ref="A4:F24" headerRowCount="1" totalsRowCount="0" totalsRowShown="0">
  <x:autoFilter ref="A4:F24"/>
  <x:tableColumns count="6">
    <x:tableColumn id="1" name="Output document"/>
    <x:tableColumn id="2" name="Source file"/>
    <x:tableColumn id="3" name="Source locator"/>
    <x:tableColumn id="4" name="Kind"/>
    <x:tableColumn id="5" name="Coverage"/>
    <x:tableColumn id="6" name="Content SHA-256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7fa7e7f0ed43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b1a9c5bcfa4a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058ebc7fc14a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ea0fe22a1c49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b2dcdc6efa46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tr">
        <x:v>World Engine documentation rebuild</x:v>
      </x:c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20" t="str">
        <x:v>Coverage and publication plan</x:v>
      </x:c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tr">
        <x:v>PROJECT PROFILE</x:v>
      </x:c>
      <x:c r="C4" s="21"/>
      <x:c r="D4" s="21"/>
      <x:c r="E4" s="21"/>
      <x:c r="F4" s="21"/>
      <x:c r="G4" s="21"/>
      <x:c r="H4" s="21"/>
      <x:c r="I4" s="21"/>
      <x:c r="J4" s="15"/>
      <x:c r="K4" s="21" t="str">
        <x:v>DOCUMENTATION TOTALS</x:v>
      </x:c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</x:row>
    <x:row r="5" ht="22" customHeight="1">
      <x:c r="B5" s="18" t="str">
        <x:v>Project Title</x:v>
      </x:c>
      <x:c r="C5" s="22" t="str">
        <x:v>Full documentation rebuild</x:v>
      </x:c>
      <x:c r="D5" s="22"/>
      <x:c r="E5" s="22"/>
      <x:c r="F5" s="27" t="str">
        <x:v>Process Owner</x:v>
      </x:c>
      <x:c r="G5" s="28"/>
      <x:c r="H5" s="23" t="str">
        <x:v>Repository audit process</x:v>
      </x:c>
      <x:c r="I5" s="23"/>
      <x:c r="J5" s="15"/>
      <x:c r="K5" s="24" t="str">
        <x:v>SOURCE FILES</x:v>
      </x:c>
      <x:c r="L5" s="25"/>
      <x:c r="M5" s="25"/>
      <x:c r="N5" s="26"/>
      <x:c r="O5" s="24" t="str">
        <x:v>DOCUMENTS</x:v>
      </x:c>
      <x:c r="P5" s="25"/>
      <x:c r="Q5" s="25"/>
      <x:c r="R5" s="26"/>
      <x:c r="S5" s="24" t="str">
        <x:v>PAGES</x:v>
      </x:c>
      <x:c r="T5" s="25"/>
      <x:c r="U5" s="25"/>
      <x:c r="V5" s="26"/>
      <x:c r="W5" s="24" t="str">
        <x:v>QA FAILURES</x:v>
      </x:c>
      <x:c r="X5" s="25"/>
      <x:c r="Y5" s="25"/>
      <x:c r="Z5" s="26"/>
      <x:c r="AA5" s="24" t="str">
        <x:v>UNSUPPORTED</x:v>
      </x:c>
      <x:c r="AB5" s="25"/>
      <x:c r="AC5" s="25"/>
      <x:c r="AD5" s="26"/>
    </x:row>
    <x:row r="6" ht="22" customHeight="1">
      <x:c r="B6" s="18" t="str">
        <x:v>Repository</x:v>
      </x:c>
      <x:c r="C6" s="23" t="str">
        <x:v>World Engine</x:v>
      </x:c>
      <x:c r="D6" s="23"/>
      <x:c r="E6" s="23"/>
      <x:c r="F6" s="27" t="str">
        <x:v>Timeline Start</x:v>
      </x:c>
      <x:c r="G6" s="28"/>
      <x:c r="H6" s="53" t="n">
        <x:v>46266</x:v>
      </x:c>
      <x:c r="I6" s="41"/>
      <x:c r="J6" s="15"/>
      <x:c r="K6" s="54" t="n">
        <x:f>COUNTA('Source Files'!$A$5:$A$170)</x:f>
        <x:v>166</x:v>
      </x:c>
      <x:c r="L6" s="43"/>
      <x:c r="M6" s="43"/>
      <x:c r="N6" s="44"/>
      <x:c r="O6" s="55" t="n">
        <x:f>COUNTA('Output QA'!$A$5:$A$63)</x:f>
        <x:v>59</x:v>
      </x:c>
      <x:c r="P6" s="46"/>
      <x:c r="Q6" s="46"/>
      <x:c r="R6" s="47"/>
      <x:c r="S6" s="56" t="n">
        <x:f>SUM('Output QA'!$G$5:$G$63)</x:f>
        <x:v>2353</x:v>
      </x:c>
      <x:c r="T6" s="36"/>
      <x:c r="U6" s="36"/>
      <x:c r="V6" s="37"/>
      <x:c r="W6" s="57" t="n">
        <x:f>COUNTIF('Output QA'!$R$5:$R$63,"FAIL")</x:f>
        <x:v>0</x:v>
      </x:c>
      <x:c r="X6" s="39"/>
      <x:c r="Y6" s="39"/>
      <x:c r="Z6" s="40"/>
      <x:c r="AA6" s="57" t="n">
        <x:f>SUM('Source Files'!$M$5:$M$170)</x:f>
        <x:v>0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tr">
        <x:v>AUDIT WORKSTREAM</x:v>
      </x:c>
      <x:c r="C8" s="21"/>
      <x:c r="D8" s="21"/>
      <x:c r="E8" s="21"/>
      <x:c r="F8" s="21"/>
      <x:c r="G8" s="21"/>
      <x:c r="H8" s="21"/>
      <x:c r="I8" s="21"/>
      <x:c r="J8" s="15"/>
      <x:c r="K8" s="21" t="str">
        <x:v>WEEKLY PLAN</x:v>
      </x:c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  <x:c r="AA8" s="21"/>
      <x:c r="AB8" s="21"/>
      <x:c r="AC8" s="21"/>
      <x:c r="AD8" s="21"/>
    </x:row>
    <x:row r="9" ht="28" customHeight="1">
      <x:c r="B9" s="1" t="str">
        <x:v>Workstream</x:v>
      </x:c>
      <x:c r="C9" s="1" t="str">
        <x:v>Task</x:v>
      </x:c>
      <x:c r="D9" s="1" t="str">
        <x:v>Owner</x:v>
      </x:c>
      <x:c r="E9" s="1" t="str">
        <x:v>Status</x:v>
      </x:c>
      <x:c r="F9" s="1" t="str">
        <x:v>Priority</x:v>
      </x:c>
      <x:c r="G9" s="48" t="str">
        <x:v>Start Date</x:v>
      </x:c>
      <x:c r="H9" s="48" t="str">
        <x:v>End Date</x:v>
      </x:c>
      <x:c r="I9" s="1" t="str">
        <x:v>Days</x:v>
      </x:c>
      <x:c r="J9" s="15"/>
      <x:c r="K9" s="58" t="n">
        <x:f>$H$6</x:f>
        <x:v>46266</x:v>
      </x:c>
      <x:c r="L9" s="58" t="n">
        <x:f t="shared" ref="L9:AD9" si="0">$H$6+7</x:f>
        <x:v>46273</x:v>
      </x:c>
      <x:c r="M9" s="58" t="n">
        <x:f t="shared" si="0">$H$6+14</x:f>
        <x:v>46280</x:v>
      </x:c>
      <x:c r="N9" s="58" t="n">
        <x:f t="shared" si="0">$H$6+21</x:f>
        <x:v>46287</x:v>
      </x:c>
      <x:c r="O9" s="58" t="n">
        <x:f t="shared" si="0">$H$6+28</x:f>
        <x:v>46294</x:v>
      </x:c>
      <x:c r="P9" s="58" t="n">
        <x:f t="shared" si="0">$H$6+35</x:f>
        <x:v>46301</x:v>
      </x:c>
      <x:c r="Q9" s="58" t="n">
        <x:f t="shared" si="0">$H$6+42</x:f>
        <x:v>46308</x:v>
      </x:c>
      <x:c r="R9" s="58" t="n">
        <x:f t="shared" si="0">$H$6+49</x:f>
        <x:v>46315</x:v>
      </x:c>
      <x:c r="S9" s="58" t="n">
        <x:f t="shared" si="0">$H$6+56</x:f>
        <x:v>46322</x:v>
      </x:c>
      <x:c r="T9" s="58" t="n">
        <x:f t="shared" si="0">$H$6+63</x:f>
        <x:v>46329</x:v>
      </x:c>
      <x:c r="U9" s="58" t="n">
        <x:f t="shared" si="0">$H$6+70</x:f>
        <x:v>46336</x:v>
      </x:c>
      <x:c r="V9" s="58" t="n">
        <x:f t="shared" si="0">$H$6+77</x:f>
        <x:v>46343</x:v>
      </x:c>
      <x:c r="W9" s="58" t="n">
        <x:f t="shared" si="0">$H$6+84</x:f>
        <x:v>46350</x:v>
      </x:c>
      <x:c r="X9" s="58" t="n">
        <x:f t="shared" si="0">$H$6+91</x:f>
        <x:v>46357</x:v>
      </x:c>
      <x:c r="Y9" s="58" t="n">
        <x:f t="shared" si="0">$H$6+98</x:f>
        <x:v>46364</x:v>
      </x:c>
      <x:c r="Z9" s="58" t="n">
        <x:f t="shared" si="0">$H$6+105</x:f>
        <x:v>46371</x:v>
      </x:c>
      <x:c r="AA9" s="58" t="n">
        <x:f t="shared" si="0">$H$6+112</x:f>
        <x:v>46378</x:v>
      </x:c>
      <x:c r="AB9" s="58" t="n">
        <x:f t="shared" si="0">$H$6+119</x:f>
        <x:v>46385</x:v>
      </x:c>
      <x:c r="AC9" s="58" t="n">
        <x:f t="shared" si="0">$H$6+126</x:f>
        <x:v>46392</x:v>
      </x:c>
      <x:c r="AD9" s="58" t="n">
        <x:f t="shared" si="0">$H$6+133</x:f>
        <x:v>46399</x:v>
      </x:c>
    </x:row>
    <x:row r="10">
      <x:c r="B10" s="5" t="str">
        <x:v>Inventory</x:v>
      </x:c>
      <x:c r="C10" s="4" t="str">
        <x:v>Inventory 166 source files</x:v>
      </x:c>
      <x:c r="D10" s="7" t="str">
        <x:v>Repository audit process</x:v>
      </x:c>
      <x:c r="E10" s="7" t="str">
        <x:v>Complete</x:v>
      </x:c>
      <x:c r="F10" s="7" t="str">
        <x:v>P0</x:v>
      </x:c>
      <x:c r="G10" s="49" t="n">
        <x:v>46266</x:v>
      </x:c>
      <x:c r="H10" s="49" t="n">
        <x:v>46266</x:v>
      </x:c>
      <x:c r="I10" s="59" t="n">
        <x:f t="shared" ref="I10:I39" si="1">IF(OR(G10="",H10="",H10&lt;G10),"",H10-G10+1)</x:f>
        <x:v>1</x:v>
      </x:c>
      <x:c r="J10" s="15"/>
      <x:c r="K10" s="12" t="n">
        <x:f t="shared" ref="K10:T19" si="2">IF(OR($G10="",$H10="",$H10&lt;$G10),"",IF(AND(K$9&lt;=$H10,K$9+6&gt;=$G10),1,""))</x:f>
        <x:v>1</x:v>
      </x:c>
      <x:c r="L10" s="13" t="str">
        <x:f t="shared" si="2">IF(OR($G10="",$H10="",$H10&lt;$G10),"",IF(AND(L$9&lt;=$H10,L$9+6&gt;=$G10),1,""))</x:f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>
      <x:c r="B11" s="6" t="str">
        <x:v>Template</x:v>
      </x:c>
      <x:c r="C11" s="3" t="str">
        <x:v>Distill selected artifact templates</x:v>
      </x:c>
      <x:c r="D11" s="8" t="str">
        <x:v>Repository audit process</x:v>
      </x:c>
      <x:c r="E11" s="8" t="str">
        <x:v>Complete</x:v>
      </x:c>
      <x:c r="F11" s="8" t="str">
        <x:v>P1</x:v>
      </x:c>
      <x:c r="G11" s="50" t="n">
        <x:v>46266</x:v>
      </x:c>
      <x:c r="H11" s="50" t="n">
        <x:v>46266</x:v>
      </x:c>
      <x:c r="I11" s="59" t="n">
        <x:f t="shared" si="1">IF(OR(G11="",H11="",H11&lt;G11),"",H11-G11+1)</x:f>
        <x:v>1</x:v>
      </x:c>
      <x:c r="J11" s="15"/>
      <x:c r="K11" s="12" t="n">
        <x:f t="shared" si="2">IF(OR($G11="",$H11="",$H11&lt;$G11),"",IF(AND(K$9&lt;=$H11,K$9+6&gt;=$G11),1,""))</x:f>
        <x:v>1</x:v>
      </x:c>
      <x:c r="L11" s="13" t="str">
        <x:f t="shared" si="2">IF(OR($G11="",$H11="",$H11&lt;$G11),"",IF(AND(L$9&lt;=$H11,L$9+6&gt;=$G11),1,""))</x:f>
      </x:c>
      <x:c r="M11" s="12" t="str">
        <x:f t="shared" si="2">IF(OR($G11="",$H11="",$H11&lt;$G11),"",IF(AND(M$9&lt;=$H11,M$9+6&gt;=$G11),1,""))</x:f>
      </x:c>
      <x:c r="N11" s="13" t="str">
        <x:f t="shared" si="2">IF(OR($G11="",$H11="",$H11&lt;$G11),"",IF(AND(N$9&lt;=$H11,N$9+6&gt;=$G11),1,""))</x:f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>
      <x:c r="B12" s="5" t="str">
        <x:v>Documents</x:v>
      </x:c>
      <x:c r="C12" s="4" t="str">
        <x:v>Build 59 complete DOCX files</x:v>
      </x:c>
      <x:c r="D12" s="7" t="str">
        <x:v>Repository audit process</x:v>
      </x:c>
      <x:c r="E12" s="7" t="str">
        <x:v>Complete</x:v>
      </x:c>
      <x:c r="F12" s="7" t="str">
        <x:v>P0</x:v>
      </x:c>
      <x:c r="G12" s="49" t="n">
        <x:v>46267</x:v>
      </x:c>
      <x:c r="H12" s="49" t="n">
        <x:v>46269</x:v>
      </x:c>
      <x:c r="I12" s="59" t="n">
        <x:f t="shared" si="1">IF(OR(G12="",H12="",H12&lt;G12),"",H12-G12+1)</x:f>
        <x:v>3</x:v>
      </x:c>
      <x:c r="J12" s="15"/>
      <x:c r="K12" s="12" t="n">
        <x:f t="shared" si="2">IF(OR($G12="",$H12="",$H12&lt;$G12),"",IF(AND(K$9&lt;=$H12,K$9+6&gt;=$G12),1,""))</x:f>
        <x:v>1</x:v>
      </x:c>
      <x:c r="L12" s="13" t="str">
        <x:f t="shared" si="2">IF(OR($G12="",$H12="",$H12&lt;$G12),"",IF(AND(L$9&lt;=$H12,L$9+6&gt;=$G12),1,""))</x:f>
      </x:c>
      <x:c r="M12" s="12" t="str">
        <x:f t="shared" si="2">IF(OR($G12="",$H12="",$H12&lt;$G12),"",IF(AND(M$9&lt;=$H12,M$9+6&gt;=$G12),1,""))</x:f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>
      <x:c r="B13" s="6" t="str">
        <x:v>Semantics</x:v>
      </x:c>
      <x:c r="C13" s="3" t="str">
        <x:v>Apply audited precedence and deduplication</x:v>
      </x:c>
      <x:c r="D13" s="8" t="str">
        <x:v>Repository audit process</x:v>
      </x:c>
      <x:c r="E13" s="8" t="str">
        <x:v>Complete</x:v>
      </x:c>
      <x:c r="F13" s="8" t="str">
        <x:v>P0</x:v>
      </x:c>
      <x:c r="G13" s="50" t="n">
        <x:v>46267</x:v>
      </x:c>
      <x:c r="H13" s="50" t="n">
        <x:v>46269</x:v>
      </x:c>
      <x:c r="I13" s="59" t="n">
        <x:f t="shared" si="1">IF(OR(G13="",H13="",H13&lt;G13),"",H13-G13+1)</x:f>
        <x:v>3</x:v>
      </x:c>
      <x:c r="J13" s="15"/>
      <x:c r="K13" s="12" t="n">
        <x:f t="shared" si="2">IF(OR($G13="",$H13="",$H13&lt;$G13),"",IF(AND(K$9&lt;=$H13,K$9+6&gt;=$G13),1,""))</x:f>
        <x:v>1</x:v>
      </x:c>
      <x:c r="L13" s="13" t="str">
        <x:f t="shared" si="2">IF(OR($G13="",$H13="",$H13&lt;$G13),"",IF(AND(L$9&lt;=$H13,L$9+6&gt;=$G13),1,""))</x:f>
      </x:c>
      <x:c r="M13" s="12" t="str">
        <x:f t="shared" si="2">IF(OR($G13="",$H13="",$H13&lt;$G13),"",IF(AND(M$9&lt;=$H13,M$9+6&gt;=$G13),1,""))</x:f>
      </x:c>
      <x:c r="N13" s="13" t="str">
        <x:f t="shared" si="2">IF(OR($G13="",$H13="",$H13&lt;$G13),"",IF(AND(N$9&lt;=$H13,N$9+6&gt;=$G13),1,""))</x:f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>
      <x:c r="B14" s="5" t="str">
        <x:v>QA</x:v>
      </x:c>
      <x:c r="C14" s="4" t="str">
        <x:v>Run structural and accessibility checks</x:v>
      </x:c>
      <x:c r="D14" s="7" t="str">
        <x:v>Repository audit process</x:v>
      </x:c>
      <x:c r="E14" s="7" t="str">
        <x:v>Complete</x:v>
      </x:c>
      <x:c r="F14" s="7" t="str">
        <x:v>P0</x:v>
      </x:c>
      <x:c r="G14" s="49" t="n">
        <x:v>46269</x:v>
      </x:c>
      <x:c r="H14" s="49" t="n">
        <x:v>46269</x:v>
      </x:c>
      <x:c r="I14" s="59" t="n">
        <x:f t="shared" si="1">IF(OR(G14="",H14="",H14&lt;G14),"",H14-G14+1)</x:f>
        <x:v>1</x:v>
      </x:c>
      <x:c r="J14" s="15"/>
      <x:c r="K14" s="12" t="n">
        <x:f t="shared" si="2">IF(OR($G14="",$H14="",$H14&lt;$G14),"",IF(AND(K$9&lt;=$H14,K$9+6&gt;=$G14),1,""))</x:f>
        <x:v>1</x:v>
      </x:c>
      <x:c r="L14" s="13" t="str">
        <x:f t="shared" si="2">IF(OR($G14="",$H14="",$H14&lt;$G14),"",IF(AND(L$9&lt;=$H14,L$9+6&gt;=$G14),1,""))</x:f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>
      <x:c r="B15" s="6" t="str">
        <x:v>Rendering</x:v>
      </x:c>
      <x:c r="C15" s="3" t="str">
        <x:v>Render and inspect 2,353 pages</x:v>
      </x:c>
      <x:c r="D15" s="8" t="str">
        <x:v>Repository audit process</x:v>
      </x:c>
      <x:c r="E15" s="8" t="str">
        <x:v>Complete</x:v>
      </x:c>
      <x:c r="F15" s="8" t="str">
        <x:v>P0</x:v>
      </x:c>
      <x:c r="G15" s="50" t="n">
        <x:v>46269</x:v>
      </x:c>
      <x:c r="H15" s="50" t="n">
        <x:v>46269</x:v>
      </x:c>
      <x:c r="I15" s="59" t="n">
        <x:f t="shared" si="1">IF(OR(G15="",H15="",H15&lt;G15),"",H15-G15+1)</x:f>
        <x:v>1</x:v>
      </x:c>
      <x:c r="J15" s="15"/>
      <x:c r="K15" s="12" t="n">
        <x:f t="shared" si="2">IF(OR($G15="",$H15="",$H15&lt;$G15),"",IF(AND(K$9&lt;=$H15,K$9+6&gt;=$G15),1,""))</x:f>
        <x:v>1</x:v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>
      <x:c r="B16" s="5" t="str">
        <x:v>Coverage</x:v>
      </x:c>
      <x:c r="C16" s="4" t="str">
        <x:v>Build source coverage and QA register</x:v>
      </x:c>
      <x:c r="D16" s="7" t="str">
        <x:v>Repository audit process</x:v>
      </x:c>
      <x:c r="E16" s="7" t="str">
        <x:v>Complete</x:v>
      </x:c>
      <x:c r="F16" s="7" t="str">
        <x:v>P1</x:v>
      </x:c>
      <x:c r="G16" s="49" t="n">
        <x:v>46269</x:v>
      </x:c>
      <x:c r="H16" s="49" t="n">
        <x:v>46269</x:v>
      </x:c>
      <x:c r="I16" s="59" t="n">
        <x:f t="shared" si="1">IF(OR(G16="",H16="",H16&lt;G16),"",H16-G16+1)</x:f>
        <x:v>1</x:v>
      </x:c>
      <x:c r="J16" s="15"/>
      <x:c r="K16" s="12" t="n">
        <x:f t="shared" si="2">IF(OR($G16="",$H16="",$H16&lt;$G16),"",IF(AND(K$9&lt;=$H16,K$9+6&gt;=$G16),1,""))</x:f>
        <x:v>1</x:v>
      </x:c>
      <x:c r="L16" s="13" t="str">
        <x:f t="shared" si="2">IF(OR($G16="",$H16="",$H16&lt;$G16),"",IF(AND(L$9&lt;=$H16,L$9+6&gt;=$G16),1,""))</x:f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>
      <x:c r="B17" s="6" t="str">
        <x:v>Publication</x:v>
      </x:c>
      <x:c r="C17" s="3" t="str">
        <x:v>Archive superseded files and publish</x:v>
      </x:c>
      <x:c r="D17" s="8" t="str">
        <x:v>Repository audit process</x:v>
      </x:c>
      <x:c r="E17" s="8" t="str">
        <x:v>Complete</x:v>
      </x:c>
      <x:c r="F17" s="8" t="str">
        <x:v>P0</x:v>
      </x:c>
      <x:c r="G17" s="50" t="n">
        <x:v>46269</x:v>
      </x:c>
      <x:c r="H17" s="50" t="n">
        <x:v>46269</x:v>
      </x:c>
      <x:c r="I17" s="59" t="n">
        <x:f t="shared" si="1">IF(OR(G17="",H17="",H17&lt;G17),"",H17-G17+1)</x:f>
        <x:v>1</x:v>
      </x:c>
      <x:c r="J17" s="15"/>
      <x:c r="K17" s="12" t="n">
        <x:f t="shared" si="2">IF(OR($G17="",$H17="",$H17&lt;$G17),"",IF(AND(K$9&lt;=$H17,K$9+6&gt;=$G17),1,""))</x:f>
        <x:v>1</x:v>
      </x:c>
      <x:c r="L17" s="13" t="str">
        <x:f t="shared" si="2">IF(OR($G17="",$H17="",$H17&lt;$G17),"",IF(AND(L$9&lt;=$H17,L$9+6&gt;=$G17),1,""))</x:f>
      </x:c>
      <x:c r="M17" s="12" t="str">
        <x:f t="shared" si="2">IF(OR($G17="",$H17="",$H17&lt;$G17),"",IF(AND(M$9&lt;=$H17,M$9+6&gt;=$G17),1,""))</x:f>
      </x:c>
      <x:c r="N17" s="13" t="str">
        <x:f t="shared" si="2">IF(OR($G17="",$H17="",$H17&lt;$G17),"",IF(AND(N$9&lt;=$H17,N$9+6&gt;=$G17),1,""))</x:f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>
      <x:c r="B18" s="5"/>
      <x:c r="C18" s="4"/>
      <x:c r="D18" s="7"/>
      <x:c r="E18" s="7"/>
      <x:c r="F18" s="7"/>
      <x:c r="G18" s="49"/>
      <x:c r="H18" s="49"/>
      <x:c r="I18" s="59" t="str">
        <x:f t="shared" si="1">IF(OR(G18="",H18="",H18&lt;G18),"",H18-G18+1)</x:f>
      </x:c>
      <x:c r="J18" s="15"/>
      <x:c r="K18" s="12" t="str">
        <x:f t="shared" si="2">IF(OR($G18="",$H18="",$H18&lt;$G18),"",IF(AND(K$9&lt;=$H18,K$9+6&gt;=$G18),1,""))</x:f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>
      <x:c r="B19" s="6"/>
      <x:c r="C19" s="3"/>
      <x:c r="D19" s="8"/>
      <x:c r="E19" s="8"/>
      <x:c r="F19" s="8"/>
      <x:c r="G19" s="50"/>
      <x:c r="H19" s="50"/>
      <x:c r="I19" s="59" t="str">
        <x:f t="shared" si="1">IF(OR(G19="",H19="",H19&lt;G19),"",H19-G19+1)</x:f>
      </x:c>
      <x:c r="J19" s="15"/>
      <x:c r="K19" s="12" t="str">
        <x:f t="shared" si="2">IF(OR($G19="",$H19="",$H19&lt;$G19),"",IF(AND(K$9&lt;=$H19,K$9+6&gt;=$G19),1,""))</x:f>
      </x:c>
      <x:c r="L19" s="13" t="str">
        <x:f t="shared" si="2">IF(OR($G19="",$H19="",$H19&lt;$G19),"",IF(AND(L$9&lt;=$H19,L$9+6&gt;=$G19),1,""))</x:f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>
      <x:c r="B20" s="5"/>
      <x:c r="C20" s="4"/>
      <x:c r="D20" s="7"/>
      <x:c r="E20" s="7"/>
      <x:c r="F20" s="7"/>
      <x:c r="G20" s="49"/>
      <x:c r="H20" s="49"/>
      <x:c r="I20" s="59" t="str">
        <x:f t="shared" si="1">IF(OR(G20="",H20="",H20&lt;G20),"",H20-G20+1)</x:f>
      </x:c>
      <x:c r="J20" s="15"/>
      <x:c r="K20" s="12" t="str">
        <x:f t="shared" ref="K20:T29" si="4">IF(OR($G20="",$H20="",$H20&lt;$G20),"",IF(AND(K$9&lt;=$H20,K$9+6&gt;=$G20),1,""))</x:f>
      </x:c>
      <x:c r="L20" s="13" t="str">
        <x:f t="shared" si="4">IF(OR($G20="",$H20="",$H20&lt;$G20),"",IF(AND(L$9&lt;=$H20,L$9+6&gt;=$G20),1,""))</x:f>
      </x:c>
      <x:c r="M20" s="12" t="str">
        <x:f t="shared" si="4">IF(OR($G20="",$H20="",$H20&lt;$G20),"",IF(AND(M$9&lt;=$H20,M$9+6&gt;=$G20),1,""))</x:f>
      </x:c>
      <x:c r="N20" s="13" t="str">
        <x:f t="shared" si="4">IF(OR($G20="",$H20="",$H20&lt;$G20),"",IF(AND(N$9&lt;=$H20,N$9+6&gt;=$G20),1,""))</x:f>
      </x:c>
      <x:c r="O20" s="12" t="str">
        <x:f t="shared" si="4">IF(OR($G20="",$H20="",$H20&lt;$G20),"",IF(AND(O$9&lt;=$H20,O$9+6&gt;=$G20),1,""))</x:f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>
      <x:c r="B21" s="6"/>
      <x:c r="C21" s="3"/>
      <x:c r="D21" s="8"/>
      <x:c r="E21" s="8"/>
      <x:c r="F21" s="8"/>
      <x:c r="G21" s="50"/>
      <x:c r="H21" s="50"/>
      <x:c r="I21" s="59" t="str">
        <x:f t="shared" si="1">IF(OR(G21="",H21="",H21&lt;G21),"",H21-G21+1)</x:f>
      </x:c>
      <x:c r="J21" s="15"/>
      <x:c r="K21" s="12" t="str">
        <x:f t="shared" si="4">IF(OR($G21="",$H21="",$H21&lt;$G21),"",IF(AND(K$9&lt;=$H21,K$9+6&gt;=$G21),1,""))</x:f>
      </x:c>
      <x:c r="L21" s="13" t="str">
        <x:f t="shared" si="4">IF(OR($G21="",$H21="",$H21&lt;$G21),"",IF(AND(L$9&lt;=$H21,L$9+6&gt;=$G21),1,""))</x:f>
      </x:c>
      <x:c r="M21" s="12" t="str">
        <x:f t="shared" si="4">IF(OR($G21="",$H21="",$H21&lt;$G21),"",IF(AND(M$9&lt;=$H21,M$9+6&gt;=$G21),1,""))</x:f>
      </x:c>
      <x:c r="N21" s="13" t="str">
        <x:f t="shared" si="4">IF(OR($G21="",$H21="",$H21&lt;$G21),"",IF(AND(N$9&lt;=$H21,N$9+6&gt;=$G21),1,""))</x:f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>
      <x:c r="B22" s="5"/>
      <x:c r="C22" s="4"/>
      <x:c r="D22" s="7"/>
      <x:c r="E22" s="7"/>
      <x:c r="F22" s="7"/>
      <x:c r="G22" s="49"/>
      <x:c r="H22" s="49"/>
      <x:c r="I22" s="59" t="str">
        <x:f t="shared" si="1">IF(OR(G22="",H22="",H22&lt;G22),"",H22-G22+1)</x:f>
      </x:c>
      <x:c r="J22" s="15"/>
      <x:c r="K22" s="12" t="str">
        <x:f t="shared" si="4">IF(OR($G22="",$H22="",$H22&lt;$G22),"",IF(AND(K$9&lt;=$H22,K$9+6&gt;=$G22),1,""))</x:f>
      </x:c>
      <x:c r="L22" s="13" t="str">
        <x:f t="shared" si="4">IF(OR($G22="",$H22="",$H22&lt;$G22),"",IF(AND(L$9&lt;=$H22,L$9+6&gt;=$G22),1,""))</x:f>
      </x:c>
      <x:c r="M22" s="12" t="str">
        <x:f t="shared" si="4">IF(OR($G22="",$H22="",$H22&lt;$G22),"",IF(AND(M$9&lt;=$H22,M$9+6&gt;=$G22),1,""))</x:f>
      </x:c>
      <x:c r="N22" s="13" t="str">
        <x:f t="shared" si="4">IF(OR($G22="",$H22="",$H22&lt;$G22),"",IF(AND(N$9&lt;=$H22,N$9+6&gt;=$G22),1,""))</x:f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>
      <x:c r="B23" s="6"/>
      <x:c r="C23" s="3"/>
      <x:c r="D23" s="8"/>
      <x:c r="E23" s="8"/>
      <x:c r="F23" s="8"/>
      <x:c r="G23" s="50"/>
      <x:c r="H23" s="50"/>
      <x:c r="I23" s="59" t="str">
        <x:f t="shared" si="1">IF(OR(G23="",H23="",H23&lt;G23),"",H23-G23+1)</x:f>
      </x:c>
      <x:c r="J23" s="15"/>
      <x:c r="K23" s="12" t="str">
        <x:f t="shared" si="4">IF(OR($G23="",$H23="",$H23&lt;$G23),"",IF(AND(K$9&lt;=$H23,K$9+6&gt;=$G23),1,""))</x:f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str">
        <x:f t="shared" si="4">IF(OR($G23="",$H23="",$H23&lt;$G23),"",IF(AND(N$9&lt;=$H23,N$9+6&gt;=$G23),1,""))</x:f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>
      <x:c r="B24" s="5"/>
      <x:c r="C24" s="4"/>
      <x:c r="D24" s="7"/>
      <x:c r="E24" s="7"/>
      <x:c r="F24" s="7"/>
      <x:c r="G24" s="49"/>
      <x:c r="H24" s="49"/>
      <x:c r="I24" s="59" t="str">
        <x:f t="shared" si="1">IF(OR(G24="",H24="",H24&lt;G24),"",H24-G24+1)</x:f>
      </x:c>
      <x:c r="J24" s="15"/>
      <x:c r="K24" s="12" t="str">
        <x:f t="shared" si="4">IF(OR($G24="",$H24="",$H24&lt;$G24),"",IF(AND(K$9&lt;=$H24,K$9+6&gt;=$G24),1,""))</x:f>
      </x:c>
      <x:c r="L24" s="13" t="str">
        <x:f t="shared" si="4">IF(OR($G24="",$H24="",$H24&lt;$G24),"",IF(AND(L$9&lt;=$H24,L$9+6&gt;=$G24),1,""))</x:f>
      </x:c>
      <x:c r="M24" s="12" t="str">
        <x:f t="shared" si="4">IF(OR($G24="",$H24="",$H24&lt;$G24),"",IF(AND(M$9&lt;=$H24,M$9+6&gt;=$G24),1,""))</x:f>
      </x:c>
      <x:c r="N24" s="13" t="str">
        <x:f t="shared" si="4">IF(OR($G24="",$H24="",$H24&lt;$G24),"",IF(AND(N$9&lt;=$H24,N$9+6&gt;=$G24),1,""))</x:f>
      </x:c>
      <x:c r="O24" s="12" t="str">
        <x:f t="shared" si="4">IF(OR($G24="",$H24="",$H24&lt;$G24),"",IF(AND(O$9&lt;=$H24,O$9+6&gt;=$G24),1,""))</x:f>
      </x:c>
      <x:c r="P24" s="13" t="str">
        <x:f t="shared" si="4">IF(OR($G24="",$H24="",$H24&lt;$G24),"",IF(AND(P$9&lt;=$H24,P$9+6&gt;=$G24),1,""))</x:f>
      </x:c>
      <x:c r="Q24" s="12" t="str">
        <x:f t="shared" si="4">IF(OR($G24="",$H24="",$H24&lt;$G24),"",IF(AND(Q$9&lt;=$H24,Q$9+6&gt;=$G24),1,""))</x:f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>
      <x:c r="B25" s="6"/>
      <x:c r="C25" s="3"/>
      <x:c r="D25" s="8"/>
      <x:c r="E25" s="8"/>
      <x:c r="F25" s="8"/>
      <x:c r="G25" s="50"/>
      <x:c r="H25" s="50"/>
      <x:c r="I25" s="59" t="str">
        <x:f t="shared" si="1">IF(OR(G25="",H25="",H25&lt;G25),"",H25-G25+1)</x:f>
      </x:c>
      <x:c r="J25" s="15"/>
      <x:c r="K25" s="12" t="str">
        <x:f t="shared" si="4">IF(OR($G25="",$H25="",$H25&lt;$G25),"",IF(AND(K$9&lt;=$H25,K$9+6&gt;=$G25),1,""))</x:f>
      </x:c>
      <x:c r="L25" s="13" t="str">
        <x:f t="shared" si="4">IF(OR($G25="",$H25="",$H25&lt;$G25),"",IF(AND(L$9&lt;=$H25,L$9+6&gt;=$G25),1,""))</x:f>
      </x:c>
      <x:c r="M25" s="12" t="str">
        <x:f t="shared" si="4">IF(OR($G25="",$H25="",$H25&lt;$G25),"",IF(AND(M$9&lt;=$H25,M$9+6&gt;=$G25),1,""))</x:f>
      </x:c>
      <x:c r="N25" s="13" t="str">
        <x:f t="shared" si="4">IF(OR($G25="",$H25="",$H25&lt;$G25),"",IF(AND(N$9&lt;=$H25,N$9+6&gt;=$G25),1,""))</x:f>
      </x:c>
      <x:c r="O25" s="12" t="str">
        <x:f t="shared" si="4">IF(OR($G25="",$H25="",$H25&lt;$G25),"",IF(AND(O$9&lt;=$H25,O$9+6&gt;=$G25),1,""))</x:f>
      </x:c>
      <x:c r="P25" s="13" t="str">
        <x:f t="shared" si="4">IF(OR($G25="",$H25="",$H25&lt;$G25),"",IF(AND(P$9&lt;=$H25,P$9+6&gt;=$G25),1,""))</x:f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>
      <x:c r="B26" s="5"/>
      <x:c r="C26" s="4"/>
      <x:c r="D26" s="7"/>
      <x:c r="E26" s="7"/>
      <x:c r="F26" s="7"/>
      <x:c r="G26" s="49"/>
      <x:c r="H26" s="49"/>
      <x:c r="I26" s="59" t="str">
        <x:f t="shared" si="1">IF(OR(G26="",H26="",H26&lt;G26),"",H26-G26+1)</x:f>
      </x:c>
      <x:c r="J26" s="15"/>
      <x:c r="K26" s="12" t="str">
        <x:f t="shared" si="4">IF(OR($G26="",$H26="",$H26&lt;$G26),"",IF(AND(K$9&lt;=$H26,K$9+6&gt;=$G26),1,""))</x:f>
      </x:c>
      <x:c r="L26" s="13" t="str">
        <x:f t="shared" si="4">IF(OR($G26="",$H26="",$H26&lt;$G26),"",IF(AND(L$9&lt;=$H26,L$9+6&gt;=$G26),1,""))</x:f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str">
        <x:f t="shared" si="4">IF(OR($G26="",$H26="",$H26&lt;$G26),"",IF(AND(P$9&lt;=$H26,P$9+6&gt;=$G26),1,""))</x:f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>
      <x:c r="B27" s="6"/>
      <x:c r="C27" s="3"/>
      <x:c r="D27" s="8"/>
      <x:c r="E27" s="8"/>
      <x:c r="F27" s="8"/>
      <x:c r="G27" s="50"/>
      <x:c r="H27" s="50"/>
      <x:c r="I27" s="59" t="str">
        <x:f t="shared" si="1">IF(OR(G27="",H27="",H27&lt;G27),"",H27-G27+1)</x:f>
      </x:c>
      <x:c r="J27" s="15"/>
      <x:c r="K27" s="12" t="str">
        <x:f t="shared" si="4">IF(OR($G27="",$H27="",$H27&lt;$G27),"",IF(AND(K$9&lt;=$H27,K$9+6&gt;=$G27),1,""))</x:f>
      </x:c>
      <x:c r="L27" s="13" t="str">
        <x:f t="shared" si="4">IF(OR($G27="",$H27="",$H27&lt;$G27),"",IF(AND(L$9&lt;=$H27,L$9+6&gt;=$G27),1,""))</x:f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str">
        <x:f t="shared" si="4">IF(OR($G27="",$H27="",$H27&lt;$G27),"",IF(AND(P$9&lt;=$H27,P$9+6&gt;=$G27),1,""))</x:f>
      </x:c>
      <x:c r="Q27" s="12" t="str">
        <x:f t="shared" si="4">IF(OR($G27="",$H27="",$H27&lt;$G27),"",IF(AND(Q$9&lt;=$H27,Q$9+6&gt;=$G27),1,""))</x:f>
      </x:c>
      <x:c r="R27" s="13" t="str">
        <x:f t="shared" si="4">IF(OR($G27="",$H27="",$H27&lt;$G27),"",IF(AND(R$9&lt;=$H27,R$9+6&gt;=$G27),1,""))</x:f>
      </x:c>
      <x:c r="S27" s="12" t="str">
        <x:f t="shared" si="4">IF(OR($G27="",$H27="",$H27&lt;$G27),"",IF(AND(S$9&lt;=$H27,S$9+6&gt;=$G27),1,""))</x:f>
      </x:c>
      <x:c r="T27" s="13" t="str">
        <x:f t="shared" si="4">IF(OR($G27="",$H27="",$H27&lt;$G27),"",IF(AND(T$9&lt;=$H27,T$9+6&gt;=$G27),1,""))</x:f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>
      <x:c r="B28" s="5"/>
      <x:c r="C28" s="4"/>
      <x:c r="D28" s="7"/>
      <x:c r="E28" s="7"/>
      <x:c r="F28" s="7"/>
      <x:c r="G28" s="49"/>
      <x:c r="H28" s="49"/>
      <x:c r="I28" s="59" t="str">
        <x:f t="shared" si="1">IF(OR(G28="",H28="",H28&lt;G28),"",H28-G28+1)</x:f>
      </x:c>
      <x:c r="J28" s="15"/>
      <x:c r="K28" s="12" t="str">
        <x:f t="shared" si="4">IF(OR($G28="",$H28="",$H28&lt;$G28),"",IF(AND(K$9&lt;=$H28,K$9+6&gt;=$G28),1,""))</x:f>
      </x:c>
      <x:c r="L28" s="13" t="str">
        <x:f t="shared" si="4">IF(OR($G28="",$H28="",$H28&lt;$G28),"",IF(AND(L$9&lt;=$H28,L$9+6&gt;=$G28),1,""))</x:f>
      </x:c>
      <x:c r="M28" s="12" t="str">
        <x:f t="shared" si="4">IF(OR($G28="",$H28="",$H28&lt;$G28),"",IF(AND(M$9&lt;=$H28,M$9+6&gt;=$G28),1,""))</x:f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str">
        <x:f t="shared" si="4">IF(OR($G28="",$H28="",$H28&lt;$G28),"",IF(AND(P$9&lt;=$H28,P$9+6&gt;=$G28),1,""))</x:f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>
      <x:c r="B29" s="6"/>
      <x:c r="C29" s="3"/>
      <x:c r="D29" s="8"/>
      <x:c r="E29" s="8"/>
      <x:c r="F29" s="8"/>
      <x:c r="G29" s="50"/>
      <x:c r="H29" s="50"/>
      <x:c r="I29" s="59" t="str">
        <x:f t="shared" si="1">IF(OR(G29="",H29="",H29&lt;G29),"",H29-G29+1)</x:f>
      </x:c>
      <x:c r="J29" s="15"/>
      <x:c r="K29" s="12" t="str">
        <x:f t="shared" si="4">IF(OR($G29="",$H29="",$H29&lt;$G29),"",IF(AND(K$9&lt;=$H29,K$9+6&gt;=$G29),1,""))</x:f>
      </x:c>
      <x:c r="L29" s="13" t="str">
        <x:f t="shared" si="4">IF(OR($G29="",$H29="",$H29&lt;$G29),"",IF(AND(L$9&lt;=$H29,L$9+6&gt;=$G29),1,""))</x:f>
      </x:c>
      <x:c r="M29" s="12" t="str">
        <x:f t="shared" si="4">IF(OR($G29="",$H29="",$H29&lt;$G29),"",IF(AND(M$9&lt;=$H29,M$9+6&gt;=$G29),1,""))</x:f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str">
        <x:f t="shared" si="4">IF(OR($G29="",$H29="",$H29&lt;$G29),"",IF(AND(P$9&lt;=$H29,P$9+6&gt;=$G29),1,""))</x:f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str">
        <x:f t="shared" si="4">IF(OR($G29="",$H29="",$H29&lt;$G29),"",IF(AND(S$9&lt;=$H29,S$9+6&gt;=$G29),1,""))</x:f>
      </x:c>
      <x:c r="T29" s="13" t="str">
        <x:f t="shared" si="4">IF(OR($G29="",$H29="",$H29&lt;$G29),"",IF(AND(T$9&lt;=$H29,T$9+6&gt;=$G29),1,""))</x:f>
      </x:c>
      <x:c r="U29" s="12" t="str">
        <x:f t="shared" si="5">IF(OR($G29="",$H29="",$H29&lt;$G29),"",IF(AND(U$9&lt;=$H29,U$9+6&gt;=$G29),1,""))</x:f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>
      <x:c r="B30" s="5"/>
      <x:c r="C30" s="4"/>
      <x:c r="D30" s="7"/>
      <x:c r="E30" s="7"/>
      <x:c r="F30" s="7"/>
      <x:c r="G30" s="49"/>
      <x:c r="H30" s="49"/>
      <x:c r="I30" s="59" t="str">
        <x:f t="shared" si="1">IF(OR(G30="",H30="",H30&lt;G30),"",H30-G30+1)</x:f>
      </x:c>
      <x:c r="J30" s="15"/>
      <x:c r="K30" s="12" t="str">
        <x:f t="shared" ref="K30:T39" si="6">IF(OR($G30="",$H30="",$H30&lt;$G30),"",IF(AND(K$9&lt;=$H30,K$9+6&gt;=$G30),1,""))</x:f>
      </x:c>
      <x:c r="L30" s="13" t="str">
        <x:f t="shared" si="6">IF(OR($G30="",$H30="",$H30&lt;$G30),"",IF(AND(L$9&lt;=$H30,L$9+6&gt;=$G30),1,""))</x:f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str">
        <x:f t="shared" si="6">IF(OR($G30="",$H30="",$H30&lt;$G30),"",IF(AND(P$9&lt;=$H30,P$9+6&gt;=$G30),1,""))</x:f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str">
        <x:f t="shared" si="6">IF(OR($G30="",$H30="",$H30&lt;$G30),"",IF(AND(T$9&lt;=$H30,T$9+6&gt;=$G30),1,""))</x:f>
      </x:c>
      <x:c r="U30" s="12" t="str">
        <x:f t="shared" ref="U30:AD39" si="7">IF(OR($G30="",$H30="",$H30&lt;$G30),"",IF(AND(U$9&lt;=$H30,U$9+6&gt;=$G30),1,""))</x:f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>
      <x:c r="B31" s="6"/>
      <x:c r="C31" s="3"/>
      <x:c r="D31" s="8"/>
      <x:c r="E31" s="8"/>
      <x:c r="F31" s="8"/>
      <x:c r="G31" s="51"/>
      <x:c r="H31" s="51"/>
      <x:c r="I31" s="59" t="str">
        <x:f t="shared" si="1">IF(OR(G31="",H31="",H31&lt;G31),"",H31-G31+1)</x:f>
      </x:c>
      <x:c r="J31" s="15"/>
      <x:c r="K31" s="12" t="str">
        <x:f t="shared" si="6">IF(OR($G31="",$H31="",$H31&lt;$G31),"",IF(AND(K$9&lt;=$H31,K$9+6&gt;=$G31),1,""))</x:f>
      </x:c>
      <x:c r="L31" s="13" t="str">
        <x:f t="shared" si="6">IF(OR($G31="",$H31="",$H31&lt;$G31),"",IF(AND(L$9&lt;=$H31,L$9+6&gt;=$G31),1,""))</x:f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str">
        <x:f t="shared" si="6">IF(OR($G31="",$H31="",$H31&lt;$G31),"",IF(AND(P$9&lt;=$H31,P$9+6&gt;=$G31),1,""))</x:f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str">
        <x:f t="shared" si="7">IF(OR($G31="",$H31="",$H31&lt;$G31),"",IF(AND(U$9&lt;=$H31,U$9+6&gt;=$G31),1,""))</x:f>
      </x:c>
      <x:c r="V31" s="13" t="str">
        <x:f t="shared" si="7">IF(OR($G31="",$H31="",$H31&lt;$G31),"",IF(AND(V$9&lt;=$H31,V$9+6&gt;=$G31),1,""))</x:f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>
      <x:c r="B32" s="5"/>
      <x:c r="C32" s="4"/>
      <x:c r="D32" s="7"/>
      <x:c r="E32" s="7"/>
      <x:c r="F32" s="7"/>
      <x:c r="G32" s="52"/>
      <x:c r="H32" s="52"/>
      <x:c r="I32" s="59" t="str">
        <x:f t="shared" si="1">IF(OR(G32="",H32="",H32&lt;G32),"",H32-G32+1)</x:f>
      </x:c>
      <x:c r="J32" s="15"/>
      <x:c r="K32" s="12" t="str">
        <x:f t="shared" si="6">IF(OR($G32="",$H32="",$H32&lt;$G32),"",IF(AND(K$9&lt;=$H32,K$9+6&gt;=$G32),1,""))</x:f>
      </x:c>
      <x:c r="L32" s="13" t="str">
        <x:f t="shared" si="6">IF(OR($G32="",$H32="",$H32&lt;$G32),"",IF(AND(L$9&lt;=$H32,L$9+6&gt;=$G32),1,""))</x:f>
      </x:c>
      <x:c r="M32" s="12" t="str">
        <x:f t="shared" si="6">IF(OR($G32="",$H32="",$H32&lt;$G32),"",IF(AND(M$9&lt;=$H32,M$9+6&gt;=$G32),1,""))</x:f>
      </x:c>
      <x:c r="N32" s="13" t="str">
        <x:f t="shared" si="6">IF(OR($G32="",$H32="",$H32&lt;$G32),"",IF(AND(N$9&lt;=$H32,N$9+6&gt;=$G32),1,""))</x:f>
      </x:c>
      <x:c r="O32" s="12" t="str">
        <x:f t="shared" si="6">IF(OR($G32="",$H32="",$H32&lt;$G32),"",IF(AND(O$9&lt;=$H32,O$9+6&gt;=$G32),1,""))</x:f>
      </x:c>
      <x:c r="P32" s="13" t="str">
        <x:f t="shared" si="6">IF(OR($G32="",$H32="",$H32&lt;$G32),"",IF(AND(P$9&lt;=$H32,P$9+6&gt;=$G32),1,""))</x:f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str">
        <x:f t="shared" si="7">IF(OR($G32="",$H32="",$H32&lt;$G32),"",IF(AND(U$9&lt;=$H32,U$9+6&gt;=$G32),1,""))</x:f>
      </x:c>
      <x:c r="V32" s="13" t="str">
        <x:f t="shared" si="7">IF(OR($G32="",$H32="",$H32&lt;$G32),"",IF(AND(V$9&lt;=$H32,V$9+6&gt;=$G32),1,""))</x:f>
      </x:c>
      <x:c r="W32" s="12" t="str">
        <x:f t="shared" si="7">IF(OR($G32="",$H32="",$H32&lt;$G32),"",IF(AND(W$9&lt;=$H32,W$9+6&gt;=$G32),1,""))</x:f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>
      <x:c r="B33" s="6"/>
      <x:c r="C33" s="3"/>
      <x:c r="D33" s="8"/>
      <x:c r="E33" s="8"/>
      <x:c r="F33" s="8"/>
      <x:c r="G33" s="51"/>
      <x:c r="H33" s="51"/>
      <x:c r="I33" s="59" t="str">
        <x:f t="shared" si="1">IF(OR(G33="",H33="",H33&lt;G33),"",H33-G33+1)</x:f>
      </x:c>
      <x:c r="J33" s="15"/>
      <x:c r="K33" s="12" t="str">
        <x:f t="shared" si="6">IF(OR($G33="",$H33="",$H33&lt;$G33),"",IF(AND(K$9&lt;=$H33,K$9+6&gt;=$G33),1,""))</x:f>
      </x:c>
      <x:c r="L33" s="13" t="str">
        <x:f t="shared" si="6">IF(OR($G33="",$H33="",$H33&lt;$G33),"",IF(AND(L$9&lt;=$H33,L$9+6&gt;=$G33),1,""))</x:f>
      </x:c>
      <x:c r="M33" s="12" t="str">
        <x:f t="shared" si="6">IF(OR($G33="",$H33="",$H33&lt;$G33),"",IF(AND(M$9&lt;=$H33,M$9+6&gt;=$G33),1,""))</x:f>
      </x:c>
      <x:c r="N33" s="13" t="str">
        <x:f t="shared" si="6">IF(OR($G33="",$H33="",$H33&lt;$G33),"",IF(AND(N$9&lt;=$H33,N$9+6&gt;=$G33),1,""))</x:f>
      </x:c>
      <x:c r="O33" s="12" t="str">
        <x:f t="shared" si="6">IF(OR($G33="",$H33="",$H33&lt;$G33),"",IF(AND(O$9&lt;=$H33,O$9+6&gt;=$G33),1,""))</x:f>
      </x:c>
      <x:c r="P33" s="13" t="str">
        <x:f t="shared" si="6">IF(OR($G33="",$H33="",$H33&lt;$G33),"",IF(AND(P$9&lt;=$H33,P$9+6&gt;=$G33),1,""))</x:f>
      </x:c>
      <x:c r="Q33" s="12" t="str">
        <x:f t="shared" si="6">IF(OR($G33="",$H33="",$H33&lt;$G33),"",IF(AND(Q$9&lt;=$H33,Q$9+6&gt;=$G33),1,""))</x:f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str">
        <x:f t="shared" si="7">IF(OR($G33="",$H33="",$H33&lt;$G33),"",IF(AND(V$9&lt;=$H33,V$9+6&gt;=$G33),1,""))</x:f>
      </x:c>
      <x:c r="W33" s="12" t="str">
        <x:f t="shared" si="7">IF(OR($G33="",$H33="",$H33&lt;$G33),"",IF(AND(W$9&lt;=$H33,W$9+6&gt;=$G33),1,""))</x:f>
      </x:c>
      <x:c r="X33" s="13" t="str">
        <x:f t="shared" si="7">IF(OR($G33="",$H33="",$H33&lt;$G33),"",IF(AND(X$9&lt;=$H33,X$9+6&gt;=$G33),1,""))</x:f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>
      <x:c r="B34" s="5"/>
      <x:c r="C34" s="4"/>
      <x:c r="D34" s="7"/>
      <x:c r="E34" s="7"/>
      <x:c r="F34" s="7"/>
      <x:c r="G34" s="52"/>
      <x:c r="H34" s="52"/>
      <x:c r="I34" s="59" t="str">
        <x:f t="shared" si="1">IF(OR(G34="",H34="",H34&lt;G34),"",H34-G34+1)</x:f>
      </x:c>
      <x:c r="J34" s="15"/>
      <x:c r="K34" s="12" t="str">
        <x:f t="shared" si="6">IF(OR($G34="",$H34="",$H34&lt;$G34),"",IF(AND(K$9&lt;=$H34,K$9+6&gt;=$G34),1,""))</x:f>
      </x:c>
      <x:c r="L34" s="13" t="str">
        <x:f t="shared" si="6">IF(OR($G34="",$H34="",$H34&lt;$G34),"",IF(AND(L$9&lt;=$H34,L$9+6&gt;=$G34),1,""))</x:f>
      </x:c>
      <x:c r="M34" s="12" t="str">
        <x:f t="shared" si="6">IF(OR($G34="",$H34="",$H34&lt;$G34),"",IF(AND(M$9&lt;=$H34,M$9+6&gt;=$G34),1,""))</x:f>
      </x:c>
      <x:c r="N34" s="13" t="str">
        <x:f t="shared" si="6">IF(OR($G34="",$H34="",$H34&lt;$G34),"",IF(AND(N$9&lt;=$H34,N$9+6&gt;=$G34),1,""))</x:f>
      </x:c>
      <x:c r="O34" s="12" t="str">
        <x:f t="shared" si="6">IF(OR($G34="",$H34="",$H34&lt;$G34),"",IF(AND(O$9&lt;=$H34,O$9+6&gt;=$G34),1,""))</x:f>
      </x:c>
      <x:c r="P34" s="13" t="str">
        <x:f t="shared" si="6">IF(OR($G34="",$H34="",$H34&lt;$G34),"",IF(AND(P$9&lt;=$H34,P$9+6&gt;=$G34),1,""))</x:f>
      </x:c>
      <x:c r="Q34" s="12" t="str">
        <x:f t="shared" si="6">IF(OR($G34="",$H34="",$H34&lt;$G34),"",IF(AND(Q$9&lt;=$H34,Q$9+6&gt;=$G34),1,""))</x:f>
      </x:c>
      <x:c r="R34" s="13" t="str">
        <x:f t="shared" si="6">IF(OR($G34="",$H34="",$H34&lt;$G34),"",IF(AND(R$9&lt;=$H34,R$9+6&gt;=$G34),1,""))</x:f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str">
        <x:f t="shared" si="7">IF(OR($G34="",$H34="",$H34&lt;$G34),"",IF(AND(W$9&lt;=$H34,W$9+6&gt;=$G34),1,""))</x:f>
      </x:c>
      <x:c r="X34" s="13" t="str">
        <x:f t="shared" si="7">IF(OR($G34="",$H34="",$H34&lt;$G34),"",IF(AND(X$9&lt;=$H34,X$9+6&gt;=$G34),1,""))</x:f>
      </x:c>
      <x:c r="Y34" s="12" t="str">
        <x:f t="shared" si="7">IF(OR($G34="",$H34="",$H34&lt;$G34),"",IF(AND(Y$9&lt;=$H34,Y$9+6&gt;=$G34),1,""))</x:f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>
      <x:c r="B35" s="6"/>
      <x:c r="C35" s="3"/>
      <x:c r="D35" s="8"/>
      <x:c r="E35" s="8"/>
      <x:c r="F35" s="8"/>
      <x:c r="G35" s="51"/>
      <x:c r="H35" s="51"/>
      <x:c r="I35" s="59" t="str">
        <x:f t="shared" si="1">IF(OR(G35="",H35="",H35&lt;G35),"",H35-G35+1)</x:f>
      </x:c>
      <x:c r="J35" s="15"/>
      <x:c r="K35" s="12" t="str">
        <x:f t="shared" si="6">IF(OR($G35="",$H35="",$H35&lt;$G35),"",IF(AND(K$9&lt;=$H35,K$9+6&gt;=$G35),1,""))</x:f>
      </x:c>
      <x:c r="L35" s="13" t="str">
        <x:f t="shared" si="6">IF(OR($G35="",$H35="",$H35&lt;$G35),"",IF(AND(L$9&lt;=$H35,L$9+6&gt;=$G35),1,""))</x:f>
      </x:c>
      <x:c r="M35" s="12" t="str">
        <x:f t="shared" si="6">IF(OR($G35="",$H35="",$H35&lt;$G35),"",IF(AND(M$9&lt;=$H35,M$9+6&gt;=$G35),1,""))</x:f>
      </x:c>
      <x:c r="N35" s="13" t="str">
        <x:f t="shared" si="6">IF(OR($G35="",$H35="",$H35&lt;$G35),"",IF(AND(N$9&lt;=$H35,N$9+6&gt;=$G35),1,""))</x:f>
      </x:c>
      <x:c r="O35" s="12" t="str">
        <x:f t="shared" si="6">IF(OR($G35="",$H35="",$H35&lt;$G35),"",IF(AND(O$9&lt;=$H35,O$9+6&gt;=$G35),1,""))</x:f>
      </x:c>
      <x:c r="P35" s="13" t="str">
        <x:f t="shared" si="6">IF(OR($G35="",$H35="",$H35&lt;$G35),"",IF(AND(P$9&lt;=$H35,P$9+6&gt;=$G35),1,""))</x:f>
      </x:c>
      <x:c r="Q35" s="12" t="str">
        <x:f t="shared" si="6">IF(OR($G35="",$H35="",$H35&lt;$G35),"",IF(AND(Q$9&lt;=$H35,Q$9+6&gt;=$G35),1,""))</x:f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str">
        <x:f t="shared" si="7">IF(OR($G35="",$H35="",$H35&lt;$G35),"",IF(AND(X$9&lt;=$H35,X$9+6&gt;=$G35),1,""))</x:f>
      </x:c>
      <x:c r="Y35" s="12" t="str">
        <x:f t="shared" si="7">IF(OR($G35="",$H35="",$H35&lt;$G35),"",IF(AND(Y$9&lt;=$H35,Y$9+6&gt;=$G35),1,""))</x:f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>
      <x:c r="B36" s="5"/>
      <x:c r="C36" s="4"/>
      <x:c r="D36" s="7"/>
      <x:c r="E36" s="7"/>
      <x:c r="F36" s="7"/>
      <x:c r="G36" s="52"/>
      <x:c r="H36" s="52"/>
      <x:c r="I36" s="59" t="str">
        <x:f t="shared" si="1">IF(OR(G36="",H36="",H36&lt;G36),"",H36-G36+1)</x:f>
      </x:c>
      <x:c r="J36" s="15"/>
      <x:c r="K36" s="12" t="str">
        <x:f t="shared" si="6">IF(OR($G36="",$H36="",$H36&lt;$G36),"",IF(AND(K$9&lt;=$H36,K$9+6&gt;=$G36),1,""))</x:f>
      </x:c>
      <x:c r="L36" s="13" t="str">
        <x:f t="shared" si="6">IF(OR($G36="",$H36="",$H36&lt;$G36),"",IF(AND(L$9&lt;=$H36,L$9+6&gt;=$G36),1,""))</x:f>
      </x:c>
      <x:c r="M36" s="12" t="str">
        <x:f t="shared" si="6">IF(OR($G36="",$H36="",$H36&lt;$G36),"",IF(AND(M$9&lt;=$H36,M$9+6&gt;=$G36),1,""))</x:f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str">
        <x:f t="shared" si="6">IF(OR($G36="",$H36="",$H36&lt;$G36),"",IF(AND(P$9&lt;=$H36,P$9+6&gt;=$G36),1,""))</x:f>
      </x:c>
      <x:c r="Q36" s="12" t="str">
        <x:f t="shared" si="6">IF(OR($G36="",$H36="",$H36&lt;$G36),"",IF(AND(Q$9&lt;=$H36,Q$9+6&gt;=$G36),1,""))</x:f>
      </x:c>
      <x:c r="R36" s="13" t="str">
        <x:f t="shared" si="6">IF(OR($G36="",$H36="",$H36&lt;$G36),"",IF(AND(R$9&lt;=$H36,R$9+6&gt;=$G36),1,""))</x:f>
      </x:c>
      <x:c r="S36" s="12" t="str">
        <x:f t="shared" si="6">IF(OR($G36="",$H36="",$H36&lt;$G36),"",IF(AND(S$9&lt;=$H36,S$9+6&gt;=$G36),1,""))</x:f>
      </x:c>
      <x:c r="T36" s="13" t="str">
        <x:f t="shared" si="6">IF(OR($G36="",$H36="",$H36&lt;$G36),"",IF(AND(T$9&lt;=$H36,T$9+6&gt;=$G36),1,""))</x:f>
      </x:c>
      <x:c r="U36" s="12" t="str">
        <x:f t="shared" si="7">IF(OR($G36="",$H36="",$H36&lt;$G36),"",IF(AND(U$9&lt;=$H36,U$9+6&gt;=$G36),1,""))</x:f>
      </x:c>
      <x:c r="V36" s="13" t="str">
        <x:f t="shared" si="7">IF(OR($G36="",$H36="",$H36&lt;$G36),"",IF(AND(V$9&lt;=$H36,V$9+6&gt;=$G36),1,""))</x:f>
      </x:c>
      <x:c r="W36" s="12" t="str">
        <x:f t="shared" si="7">IF(OR($G36="",$H36="",$H36&lt;$G36),"",IF(AND(W$9&lt;=$H36,W$9+6&gt;=$G36),1,""))</x:f>
      </x:c>
      <x:c r="X36" s="13" t="str">
        <x:f t="shared" si="7">IF(OR($G36="",$H36="",$H36&lt;$G36),"",IF(AND(X$9&lt;=$H36,X$9+6&gt;=$G36),1,""))</x:f>
      </x:c>
      <x:c r="Y36" s="12" t="str">
        <x:f t="shared" si="7">IF(OR($G36="",$H36="",$H36&lt;$G36),"",IF(AND(Y$9&lt;=$H36,Y$9+6&gt;=$G36),1,""))</x:f>
      </x:c>
      <x:c r="Z36" s="13" t="str">
        <x:f t="shared" si="7">IF(OR($G36="",$H36="",$H36&lt;$G36),"",IF(AND(Z$9&lt;=$H36,Z$9+6&gt;=$G36),1,""))</x:f>
      </x:c>
      <x:c r="AA36" s="12" t="str">
        <x:f t="shared" si="7">IF(OR($G36="",$H36="",$H36&lt;$G36),"",IF(AND(AA$9&lt;=$H36,AA$9+6&gt;=$G36),1,""))</x:f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>
      <x:c r="B37" s="6"/>
      <x:c r="C37" s="3"/>
      <x:c r="D37" s="8"/>
      <x:c r="E37" s="8"/>
      <x:c r="F37" s="8"/>
      <x:c r="G37" s="51"/>
      <x:c r="H37" s="51"/>
      <x:c r="I37" s="59" t="str">
        <x:f t="shared" si="1">IF(OR(G37="",H37="",H37&lt;G37),"",H37-G37+1)</x:f>
      </x:c>
      <x:c r="J37" s="15"/>
      <x:c r="K37" s="12" t="str">
        <x:f t="shared" si="6">IF(OR($G37="",$H37="",$H37&lt;$G37),"",IF(AND(K$9&lt;=$H37,K$9+6&gt;=$G37),1,""))</x:f>
      </x:c>
      <x:c r="L37" s="13" t="str">
        <x:f t="shared" si="6">IF(OR($G37="",$H37="",$H37&lt;$G37),"",IF(AND(L$9&lt;=$H37,L$9+6&gt;=$G37),1,""))</x:f>
      </x:c>
      <x:c r="M37" s="12" t="str">
        <x:f t="shared" si="6">IF(OR($G37="",$H37="",$H37&lt;$G37),"",IF(AND(M$9&lt;=$H37,M$9+6&gt;=$G37),1,""))</x:f>
      </x:c>
      <x:c r="N37" s="13" t="str">
        <x:f t="shared" si="6">IF(OR($G37="",$H37="",$H37&lt;$G37),"",IF(AND(N$9&lt;=$H37,N$9+6&gt;=$G37),1,""))</x:f>
      </x:c>
      <x:c r="O37" s="12" t="str">
        <x:f t="shared" si="6">IF(OR($G37="",$H37="",$H37&lt;$G37),"",IF(AND(O$9&lt;=$H37,O$9+6&gt;=$G37),1,""))</x:f>
      </x:c>
      <x:c r="P37" s="13" t="str">
        <x:f t="shared" si="6">IF(OR($G37="",$H37="",$H37&lt;$G37),"",IF(AND(P$9&lt;=$H37,P$9+6&gt;=$G37),1,""))</x:f>
      </x:c>
      <x:c r="Q37" s="12" t="str">
        <x:f t="shared" si="6">IF(OR($G37="",$H37="",$H37&lt;$G37),"",IF(AND(Q$9&lt;=$H37,Q$9+6&gt;=$G37),1,""))</x:f>
      </x:c>
      <x:c r="R37" s="13" t="str">
        <x:f t="shared" si="6">IF(OR($G37="",$H37="",$H37&lt;$G37),"",IF(AND(R$9&lt;=$H37,R$9+6&gt;=$G37),1,""))</x:f>
      </x:c>
      <x:c r="S37" s="12" t="str">
        <x:f t="shared" si="6">IF(OR($G37="",$H37="",$H37&lt;$G37),"",IF(AND(S$9&lt;=$H37,S$9+6&gt;=$G37),1,""))</x:f>
      </x:c>
      <x:c r="T37" s="13" t="str">
        <x:f t="shared" si="6">IF(OR($G37="",$H37="",$H37&lt;$G37),"",IF(AND(T$9&lt;=$H37,T$9+6&gt;=$G37),1,""))</x:f>
      </x:c>
      <x:c r="U37" s="12" t="str">
        <x:f t="shared" si="7">IF(OR($G37="",$H37="",$H37&lt;$G37),"",IF(AND(U$9&lt;=$H37,U$9+6&gt;=$G37),1,""))</x:f>
      </x:c>
      <x:c r="V37" s="13" t="str">
        <x:f t="shared" si="7">IF(OR($G37="",$H37="",$H37&lt;$G37),"",IF(AND(V$9&lt;=$H37,V$9+6&gt;=$G37),1,""))</x:f>
      </x:c>
      <x:c r="W37" s="12" t="str">
        <x:f t="shared" si="7">IF(OR($G37="",$H37="",$H37&lt;$G37),"",IF(AND(W$9&lt;=$H37,W$9+6&gt;=$G37),1,""))</x:f>
      </x:c>
      <x:c r="X37" s="13" t="str">
        <x:f t="shared" si="7">IF(OR($G37="",$H37="",$H37&lt;$G37),"",IF(AND(X$9&lt;=$H37,X$9+6&gt;=$G37),1,""))</x:f>
      </x:c>
      <x:c r="Y37" s="12" t="str">
        <x:f t="shared" si="7">IF(OR($G37="",$H37="",$H37&lt;$G37),"",IF(AND(Y$9&lt;=$H37,Y$9+6&gt;=$G37),1,""))</x:f>
      </x:c>
      <x:c r="Z37" s="13" t="str">
        <x:f t="shared" si="7">IF(OR($G37="",$H37="",$H37&lt;$G37),"",IF(AND(Z$9&lt;=$H37,Z$9+6&gt;=$G37),1,""))</x:f>
      </x:c>
      <x:c r="AA37" s="12" t="str">
        <x:f t="shared" si="7">IF(OR($G37="",$H37="",$H37&lt;$G37),"",IF(AND(AA$9&lt;=$H37,AA$9+6&gt;=$G37),1,""))</x:f>
      </x:c>
      <x:c r="AB37" s="13" t="str">
        <x:f t="shared" si="7">IF(OR($G37="",$H37="",$H37&lt;$G37),"",IF(AND(AB$9&lt;=$H37,AB$9+6&gt;=$G37),1,""))</x:f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>
      <x:c r="B38" s="5"/>
      <x:c r="C38" s="4"/>
      <x:c r="D38" s="7"/>
      <x:c r="E38" s="7"/>
      <x:c r="F38" s="7"/>
      <x:c r="G38" s="52"/>
      <x:c r="H38" s="52"/>
      <x:c r="I38" s="59" t="str">
        <x:f t="shared" si="1">IF(OR(G38="",H38="",H38&lt;G38),"",H38-G38+1)</x:f>
      </x:c>
      <x:c r="J38" s="15"/>
      <x:c r="K38" s="12" t="str">
        <x:f t="shared" si="6">IF(OR($G38="",$H38="",$H38&lt;$G38),"",IF(AND(K$9&lt;=$H38,K$9+6&gt;=$G38),1,""))</x:f>
      </x:c>
      <x:c r="L38" s="13" t="str">
        <x:f t="shared" si="6">IF(OR($G38="",$H38="",$H38&lt;$G38),"",IF(AND(L$9&lt;=$H38,L$9+6&gt;=$G38),1,""))</x:f>
      </x:c>
      <x:c r="M38" s="12" t="str">
        <x:f t="shared" si="6">IF(OR($G38="",$H38="",$H38&lt;$G38),"",IF(AND(M$9&lt;=$H38,M$9+6&gt;=$G38),1,""))</x:f>
      </x:c>
      <x:c r="N38" s="13" t="str">
        <x:f t="shared" si="6">IF(OR($G38="",$H38="",$H38&lt;$G38),"",IF(AND(N$9&lt;=$H38,N$9+6&gt;=$G38),1,""))</x:f>
      </x:c>
      <x:c r="O38" s="12" t="str">
        <x:f t="shared" si="6">IF(OR($G38="",$H38="",$H38&lt;$G38),"",IF(AND(O$9&lt;=$H38,O$9+6&gt;=$G38),1,""))</x:f>
      </x:c>
      <x:c r="P38" s="13" t="str">
        <x:f t="shared" si="6">IF(OR($G38="",$H38="",$H38&lt;$G38),"",IF(AND(P$9&lt;=$H38,P$9+6&gt;=$G38),1,""))</x:f>
      </x:c>
      <x:c r="Q38" s="12" t="str">
        <x:f t="shared" si="6">IF(OR($G38="",$H38="",$H38&lt;$G38),"",IF(AND(Q$9&lt;=$H38,Q$9+6&gt;=$G38),1,""))</x:f>
      </x:c>
      <x:c r="R38" s="13" t="str">
        <x:f t="shared" si="6">IF(OR($G38="",$H38="",$H38&lt;$G38),"",IF(AND(R$9&lt;=$H38,R$9+6&gt;=$G38),1,""))</x:f>
      </x:c>
      <x:c r="S38" s="12" t="str">
        <x:f t="shared" si="6">IF(OR($G38="",$H38="",$H38&lt;$G38),"",IF(AND(S$9&lt;=$H38,S$9+6&gt;=$G38),1,""))</x:f>
      </x:c>
      <x:c r="T38" s="13" t="str">
        <x:f t="shared" si="6">IF(OR($G38="",$H38="",$H38&lt;$G38),"",IF(AND(T$9&lt;=$H38,T$9+6&gt;=$G38),1,""))</x:f>
      </x:c>
      <x:c r="U38" s="12" t="str">
        <x:f t="shared" si="7">IF(OR($G38="",$H38="",$H38&lt;$G38),"",IF(AND(U$9&lt;=$H38,U$9+6&gt;=$G38),1,""))</x:f>
      </x:c>
      <x:c r="V38" s="13" t="str">
        <x:f t="shared" si="7">IF(OR($G38="",$H38="",$H38&lt;$G38),"",IF(AND(V$9&lt;=$H38,V$9+6&gt;=$G38),1,""))</x:f>
      </x:c>
      <x:c r="W38" s="12" t="str">
        <x:f t="shared" si="7">IF(OR($G38="",$H38="",$H38&lt;$G38),"",IF(AND(W$9&lt;=$H38,W$9+6&gt;=$G38),1,""))</x:f>
      </x:c>
      <x:c r="X38" s="13" t="str">
        <x:f t="shared" si="7">IF(OR($G38="",$H38="",$H38&lt;$G38),"",IF(AND(X$9&lt;=$H38,X$9+6&gt;=$G38),1,""))</x:f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str">
        <x:f t="shared" si="7">IF(OR($G38="",$H38="",$H38&lt;$G38),"",IF(AND(AA$9&lt;=$H38,AA$9+6&gt;=$G38),1,""))</x:f>
      </x:c>
      <x:c r="AB38" s="13" t="str">
        <x:f t="shared" si="7">IF(OR($G38="",$H38="",$H38&lt;$G38),"",IF(AND(AB$9&lt;=$H38,AB$9+6&gt;=$G38),1,""))</x:f>
      </x:c>
      <x:c r="AC38" s="12" t="str">
        <x:f t="shared" si="7">IF(OR($G38="",$H38="",$H38&lt;$G38),"",IF(AND(AC$9&lt;=$H38,AC$9+6&gt;=$G38),1,""))</x:f>
      </x:c>
      <x:c r="AD38" s="13" t="str">
        <x:f t="shared" si="7">IF(OR($G38="",$H38="",$H38&lt;$G38),"",IF(AND(AD$9&lt;=$H38,AD$9+6&gt;=$G38),1,""))</x:f>
      </x:c>
    </x:row>
    <x:row r="39">
      <x:c r="B39" s="6"/>
      <x:c r="C39" s="3"/>
      <x:c r="D39" s="8"/>
      <x:c r="E39" s="8"/>
      <x:c r="F39" s="8"/>
      <x:c r="G39" s="51"/>
      <x:c r="H39" s="51"/>
      <x:c r="I39" s="59" t="str">
        <x:f t="shared" si="1">IF(OR(G39="",H39="",H39&lt;G39),"",H39-G39+1)</x:f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str">
        <x:f t="shared" si="6">IF(OR($G39="",$H39="",$H39&lt;$G39),"",IF(AND(M$9&lt;=$H39,M$9+6&gt;=$G39),1,""))</x:f>
      </x:c>
      <x:c r="N39" s="13" t="str">
        <x:f t="shared" si="6">IF(OR($G39="",$H39="",$H39&lt;$G39),"",IF(AND(N$9&lt;=$H39,N$9+6&gt;=$G39),1,""))</x:f>
      </x:c>
      <x:c r="O39" s="12" t="str">
        <x:f t="shared" si="6">IF(OR($G39="",$H39="",$H39&lt;$G39),"",IF(AND(O$9&lt;=$H39,O$9+6&gt;=$G39),1,""))</x:f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str">
        <x:f t="shared" si="7">IF(OR($G39="",$H39="",$H39&lt;$G39),"",IF(AND(AB$9&lt;=$H39,AB$9+6&gt;=$G39),1,""))</x:f>
      </x:c>
      <x:c r="AC39" s="12" t="str">
        <x:f t="shared" si="7">IF(OR($G39="",$H39="",$H39&lt;$G39),"",IF(AND(AC$9&lt;=$H39,AC$9+6&gt;=$G39),1,""))</x:f>
      </x:c>
      <x:c r="AD39" s="13" t="str">
        <x:f t="shared" si="7">IF(OR($G39="",$H39="",$H39&lt;$G39),"",IF(AND(AD$9&lt;=$H39,AD$9+6&gt;=$G39),1,""))</x:f>
      </x:c>
    </x:row>
    <x:row r="40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</x:row>
    <x:row r="41" ht="24" customHeight="1">
      <x:c r="B41" s="29" t="str">
        <x:v>The workbook records complete source coverage, output QA and visual assets. All publication-package gates passed before the canonical files were released.</x:v>
      </x:c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1"/>
    </x:row>
    <x:row r="42" ht="24" customHeight="1">
      <x:c r="B42" s="32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  <x:c r="AA42" s="33"/>
      <x:c r="AB42" s="33"/>
      <x:c r="AC42" s="33"/>
      <x:c r="AD42" s="34"/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F329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20" hidden="0" customWidth="1"/>
  </x:cols>
  <x:sheetData>
    <x:row r="1" ht="26" customHeight="1">
      <x:c r="A1" s="61" t="str">
        <x:v>World Engine documentation coverage</x:v>
      </x:c>
      <x:c r="B1" s="61"/>
      <x:c r="C1" s="61"/>
      <x:c r="D1" s="61"/>
    </x:row>
    <x:row r="2" ht="20" customHeight="1">
      <x:c r="A2" s="62" t="str">
        <x:v>Remote main snapshot ffcb41a5. All 59 documents and all 166 source mappings passed the final publication gates on 2026-09-04.</x:v>
      </x:c>
      <x:c r="B2" s="62"/>
      <x:c r="C2" s="62"/>
      <x:c r="D2" s="62"/>
    </x:row>
    <x:row r="4" ht="34" customHeight="1">
      <x:c r="A4" s="74" t="str">
        <x:v>Metric</x:v>
      </x:c>
      <x:c r="B4" s="75" t="str">
        <x:v>Current</x:v>
      </x:c>
      <x:c r="C4" s="75" t="str">
        <x:v>Required</x:v>
      </x:c>
      <x:c r="D4" s="76" t="str">
        <x:v>Check</x:v>
      </x:c>
    </x:row>
    <x:row r="5" ht="15" hidden="0" customHeight="1">
      <x:c r="A5" s="80" t="str">
        <x:v>Source files</x:v>
      </x:c>
      <x:c r="B5" s="82" t="n">
        <x:f>COUNTA('Source Files'!$A$5:$A$170)</x:f>
        <x:v>166</x:v>
      </x:c>
      <x:c r="C5" s="82" t="n">
        <x:v>166</x:v>
      </x:c>
      <x:c r="D5" s="80" t="str">
        <x:f>IF(B5=C5,"PASS","CHECK")</x:f>
        <x:v>PASS</x:v>
      </x:c>
    </x:row>
    <x:row r="6" ht="15" hidden="0" customHeight="1">
      <x:c r="A6" s="81" t="str">
        <x:v>DOCX sources</x:v>
      </x:c>
      <x:c r="B6" s="83" t="n">
        <x:f>COUNTIF('Source Files'!$B$5:$B$170,"docx")</x:f>
        <x:v>110</x:v>
      </x:c>
      <x:c r="C6" s="83" t="n">
        <x:v>110</x:v>
      </x:c>
      <x:c r="D6" s="81" t="str">
        <x:f>IF(B6=C6,"PASS","CHECK")</x:f>
        <x:v>PASS</x:v>
      </x:c>
    </x:row>
    <x:row r="7" ht="15" hidden="0" customHeight="1">
      <x:c r="A7" s="80" t="str">
        <x:v>Markdown sources</x:v>
      </x:c>
      <x:c r="B7" s="82" t="n">
        <x:f>COUNTIF('Source Files'!$B$5:$B$170,"md")</x:f>
        <x:v>54</x:v>
      </x:c>
      <x:c r="C7" s="82" t="n">
        <x:v>54</x:v>
      </x:c>
      <x:c r="D7" s="80" t="str">
        <x:f>IF(B7=C7,"PASS","CHECK")</x:f>
        <x:v>PASS</x:v>
      </x:c>
    </x:row>
    <x:row r="8" ht="15" hidden="0" customHeight="1">
      <x:c r="A8" s="81" t="str">
        <x:v>SVG sources</x:v>
      </x:c>
      <x:c r="B8" s="83" t="n">
        <x:f>COUNTIF('Source Files'!$B$5:$B$170,"svg")</x:f>
        <x:v>1</x:v>
      </x:c>
      <x:c r="C8" s="83" t="n">
        <x:v>1</x:v>
      </x:c>
      <x:c r="D8" s="81" t="str">
        <x:f>IF(B8=C8,"PASS","CHECK")</x:f>
        <x:v>PASS</x:v>
      </x:c>
    </x:row>
    <x:row r="9" ht="15" hidden="0" customHeight="1">
      <x:c r="A9" s="80" t="str">
        <x:v>JPG sources</x:v>
      </x:c>
      <x:c r="B9" s="82" t="n">
        <x:f>COUNTIF('Source Files'!$B$5:$B$170,"jpg")</x:f>
        <x:v>1</x:v>
      </x:c>
      <x:c r="C9" s="82" t="n">
        <x:v>1</x:v>
      </x:c>
      <x:c r="D9" s="80" t="str">
        <x:f>IF(B9=C9,"PASS","CHECK")</x:f>
        <x:v>PASS</x:v>
      </x:c>
    </x:row>
    <x:row r="10" ht="15" hidden="0" customHeight="1">
      <x:c r="A10" s="81" t="str">
        <x:v>Full output documents</x:v>
      </x:c>
      <x:c r="B10" s="83" t="n">
        <x:f>COUNTA('Output QA'!$A$5:$A$63)</x:f>
        <x:v>59</x:v>
      </x:c>
      <x:c r="C10" s="83" t="n">
        <x:v>59</x:v>
      </x:c>
      <x:c r="D10" s="81" t="str">
        <x:f>IF(B10=C10,"PASS","CHECK")</x:f>
        <x:v>PASS</x:v>
      </x:c>
    </x:row>
    <x:row r="11" ht="15" hidden="0" customHeight="1">
      <x:c r="A11" s="80" t="str">
        <x:v>Rendered pages</x:v>
      </x:c>
      <x:c r="B11" s="82" t="n">
        <x:f>SUM('Output QA'!$G$5:$G$63)</x:f>
        <x:v>2353</x:v>
      </x:c>
      <x:c r="C11" s="82" t="n">
        <x:v>2353</x:v>
      </x:c>
      <x:c r="D11" s="80" t="str">
        <x:f>IF(B11=C11,"PASS","CHECK")</x:f>
        <x:v>PASS</x:v>
      </x:c>
    </x:row>
    <x:row r="12" ht="15" hidden="0" customHeight="1">
      <x:c r="A12" s="81" t="str">
        <x:v>Structural QA passes</x:v>
      </x:c>
      <x:c r="B12" s="83" t="n">
        <x:f>COUNTIF('Output QA'!$P$5:$P$63,"PASS")</x:f>
        <x:v>59</x:v>
      </x:c>
      <x:c r="C12" s="83" t="n">
        <x:v>59</x:v>
      </x:c>
      <x:c r="D12" s="81" t="str">
        <x:f>IF(B12=C12,"PASS","CHECK")</x:f>
        <x:v>PASS</x:v>
      </x:c>
    </x:row>
    <x:row r="13" ht="15" hidden="0" customHeight="1">
      <x:c r="A13" s="80" t="str">
        <x:v>Page QA passes</x:v>
      </x:c>
      <x:c r="B13" s="82" t="n">
        <x:f>COUNTIF('Output QA'!$Q$5:$Q$63,"PASS")</x:f>
        <x:v>59</x:v>
      </x:c>
      <x:c r="C13" s="82" t="n">
        <x:v>59</x:v>
      </x:c>
      <x:c r="D13" s="80" t="str">
        <x:f>IF(B13=C13,"PASS","CHECK")</x:f>
        <x:v>PASS</x:v>
      </x:c>
    </x:row>
    <x:row r="14" ht="15" hidden="0" customHeight="1">
      <x:c r="A14" s="81" t="str">
        <x:v>Accessibility issues, high</x:v>
      </x:c>
      <x:c r="B14" s="83" t="n">
        <x:f>SUM('Output QA'!$N$5:$N$63)</x:f>
        <x:v>0</x:v>
      </x:c>
      <x:c r="C14" s="83" t="n">
        <x:v>0</x:v>
      </x:c>
      <x:c r="D14" s="81" t="str">
        <x:f>IF(B14=C14,"PASS","CHECK")</x:f>
        <x:v>PASS</x:v>
      </x:c>
    </x:row>
    <x:row r="15" ht="15" hidden="0" customHeight="1">
      <x:c r="A15" s="80" t="str">
        <x:v>Accessibility issues, medium</x:v>
      </x:c>
      <x:c r="B15" s="82" t="n">
        <x:f>SUM('Output QA'!$O$5:$O$63)</x:f>
        <x:v>0</x:v>
      </x:c>
      <x:c r="C15" s="82" t="n">
        <x:v>0</x:v>
      </x:c>
      <x:c r="D15" s="80" t="str">
        <x:f>IF(B15=C15,"PASS","CHECK")</x:f>
        <x:v>PASS</x:v>
      </x:c>
    </x:row>
    <x:row r="16" ht="15" hidden="0" customHeight="1">
      <x:c r="A16" s="81" t="str">
        <x:v>Unsupported content objects</x:v>
      </x:c>
      <x:c r="B16" s="83" t="n">
        <x:f>SUM('Content Coverage'!$H$5:$H$170)</x:f>
        <x:v>0</x:v>
      </x:c>
      <x:c r="C16" s="83" t="n">
        <x:v>0</x:v>
      </x:c>
      <x:c r="D16" s="81" t="str">
        <x:f>IF(B16=C16,"PASS","CHECK")</x:f>
        <x:v>PASS</x:v>
      </x:c>
    </x:row>
    <x:row r="17" ht="15" hidden="0" customHeight="1">
      <x:c r="A17" s="80" t="str">
        <x:v>Missing source mappings</x:v>
      </x:c>
      <x:c r="B17" s="82" t="n">
        <x:f>COUNTIF('Source Files'!$K$5:$K$170,"Check required")</x:f>
        <x:v>0</x:v>
      </x:c>
      <x:c r="C17" s="82" t="n">
        <x:v>0</x:v>
      </x:c>
      <x:c r="D17" s="80" t="str">
        <x:f>IF(B17=C17,"PASS","CHECK")</x:f>
        <x:v>PASS</x:v>
      </x:c>
    </x:row>
  </x:sheetData>
  <x:conditionalFormatting sqref="D5:D17">
    <x:cfRule type="containsText" dxfId="11" priority="1" operator="containsText" text="PASS"/>
    <x:cfRule type="containsText" dxfId="12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587fa7e7f0ed4360"/>
  </x:tableParts>
</x:worksheet>
</file>

<file path=xl/worksheets/sheet3.xml><?xml version="1.0" encoding="utf-8"?>
<x:worksheet xmlns:x="http://schemas.openxmlformats.org/spreadsheetml/2006/main">
  <x:sheetPr>
    <x:tabColor rgb="FF3F3296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72" hidden="0" customWidth="1"/>
    <x:col min="2" max="2" width="10" hidden="0" customWidth="1"/>
    <x:col min="3" max="3" width="18" hidden="0" customWidth="1"/>
    <x:col min="4" max="4" width="18" hidden="0" customWidth="1"/>
    <x:col min="5" max="5" width="28" hidden="0" customWidth="1"/>
    <x:col min="6" max="6" width="12" hidden="0" customWidth="1"/>
    <x:col min="7" max="7" width="58" hidden="0" customWidth="1"/>
    <x:col min="8" max="8" width="16" hidden="0" customWidth="1"/>
    <x:col min="9" max="9" width="14" hidden="0" customWidth="1"/>
    <x:col min="10" max="10" width="66" hidden="0" customWidth="1"/>
    <x:col min="11" max="11" width="24" hidden="0" customWidth="1"/>
    <x:col min="12" max="12" width="72" hidden="0" customWidth="1"/>
    <x:col min="13" max="13" width="16" hidden="0" customWidth="1"/>
  </x:cols>
  <x:sheetData>
    <x:row r="1" ht="26" customHeight="1">
      <x:c r="A1" s="61" t="str">
        <x:v>Source files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</x:row>
    <x:row r="2" ht="20" customHeight="1">
      <x:c r="A2" s="62" t="str">
        <x:v>Every in-scope source file from project management through MOD-001, including archived revisions and audit evidence.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</x:row>
    <x:row r="4" ht="34" customHeight="1">
      <x:c r="A4" s="74" t="str">
        <x:v>Source path</x:v>
      </x:c>
      <x:c r="B4" s="75" t="str">
        <x:v>Type</x:v>
      </x:c>
      <x:c r="C4" s="75" t="str">
        <x:v>Logical ID</x:v>
      </x:c>
      <x:c r="D4" s="75" t="str">
        <x:v>Language</x:v>
      </x:c>
      <x:c r="E4" s="75" t="str">
        <x:v>Role</x:v>
      </x:c>
      <x:c r="F4" s="75" t="str">
        <x:v>Output count</x:v>
      </x:c>
      <x:c r="G4" s="75" t="str">
        <x:v>Output documents</x:v>
      </x:c>
      <x:c r="H4" s="75" t="str">
        <x:v>Repository state</x:v>
      </x:c>
      <x:c r="I4" s="75" t="str">
        <x:v>Bytes</x:v>
      </x:c>
      <x:c r="J4" s="75" t="str">
        <x:v>SHA-256</x:v>
      </x:c>
      <x:c r="K4" s="75" t="str">
        <x:v>Coverage</x:v>
      </x:c>
      <x:c r="L4" s="75" t="str">
        <x:v>Destination documents</x:v>
      </x:c>
      <x:c r="M4" s="76" t="str">
        <x:v>Unsupported rows</x:v>
      </x:c>
    </x:row>
    <x:row r="5" ht="15" hidden="0" customHeight="1">
      <x:c r="A5" s="80" t="str">
        <x:v>docs/00_Project_Management/DOC-001_World_Engine_Vision_DE_v2.docx</x:v>
      </x:c>
      <x:c r="B5" s="80" t="str">
        <x:v>docx</x:v>
      </x:c>
      <x:c r="C5" s="80" t="str">
        <x:v>DOC-001</x:v>
      </x:c>
      <x:c r="D5" s="80" t="str">
        <x:v>DE</x:v>
      </x:c>
      <x:c r="E5" s="80" t="str">
        <x:v>Normative source</x:v>
      </x:c>
      <x:c r="F5" s="82" t="n">
        <x:v>1</x:v>
      </x:c>
      <x:c r="G5" s="80" t="str">
        <x:v>DOC-001_Vision_DE_v3_0_Full_Content_Audited_Complete.docx</x:v>
      </x:c>
      <x:c r="H5" s="80" t="str">
        <x:v>Active source</x:v>
      </x:c>
      <x:c r="I5" s="82" t="n">
        <x:v>38469</x:v>
      </x:c>
      <x:c r="J5" s="80" t="str">
        <x:v>df77cc29afac0d5c6ead8e4e6f3078f3f5b9839936a909188c9edc9e94edae90</x:v>
      </x:c>
      <x:c r="K5" s="80" t="str">
        <x:v>Covered</x:v>
      </x:c>
      <x:c r="L5" s="80" t="str">
        <x:v>docs/00_Project_Management/DOC-001_Vision_DE_v3_0_Full_Content_Audited_Complete.docx</x:v>
      </x:c>
      <x:c r="M5" s="82" t="n">
        <x:v>0</x:v>
      </x:c>
    </x:row>
    <x:row r="6" ht="15" hidden="0" customHeight="1">
      <x:c r="A6" s="81" t="str">
        <x:v>docs/00_Project_Management/DOC-001_World_Engine_Vision_RU_v2.docx</x:v>
      </x:c>
      <x:c r="B6" s="81" t="str">
        <x:v>docx</x:v>
      </x:c>
      <x:c r="C6" s="81" t="str">
        <x:v>DOC-001</x:v>
      </x:c>
      <x:c r="D6" s="81" t="str">
        <x:v>RU</x:v>
      </x:c>
      <x:c r="E6" s="81" t="str">
        <x:v>Normative source</x:v>
      </x:c>
      <x:c r="F6" s="83" t="n">
        <x:v>1</x:v>
      </x:c>
      <x:c r="G6" s="81" t="str">
        <x:v>DOC-001_Vision_RU_v3_0_Full_Content_Audited_Complete.docx</x:v>
      </x:c>
      <x:c r="H6" s="81" t="str">
        <x:v>Active source</x:v>
      </x:c>
      <x:c r="I6" s="83" t="n">
        <x:v>38848</x:v>
      </x:c>
      <x:c r="J6" s="81" t="str">
        <x:v>c0a33d26231622d44981870d37ef076b7c1c3c45c82c01b33107367862bef8dc</x:v>
      </x:c>
      <x:c r="K6" s="81" t="str">
        <x:v>Covered</x:v>
      </x:c>
      <x:c r="L6" s="81" t="str">
        <x:v>docs/00_Project_Management/DOC-001_Vision_RU_v3_0_Full_Content_Audited_Complete.docx</x:v>
      </x:c>
      <x:c r="M6" s="83" t="n">
        <x:v>0</x:v>
      </x:c>
    </x:row>
    <x:row r="7" ht="15" hidden="0" customHeight="1">
      <x:c r="A7" s="80" t="str">
        <x:v>docs/00_Project_Management/DOC-002_World_Engine_Project_Principles_DE_v2.docx</x:v>
      </x:c>
      <x:c r="B7" s="80" t="str">
        <x:v>docx</x:v>
      </x:c>
      <x:c r="C7" s="80" t="str">
        <x:v>DOC-002</x:v>
      </x:c>
      <x:c r="D7" s="80" t="str">
        <x:v>DE</x:v>
      </x:c>
      <x:c r="E7" s="80" t="str">
        <x:v>Normative source</x:v>
      </x:c>
      <x:c r="F7" s="82" t="n">
        <x:v>1</x:v>
      </x:c>
      <x:c r="G7" s="80" t="str">
        <x:v>DOC-002_Project_Principles_DE_v3_0_Full_Content_Audited_Complete.docx</x:v>
      </x:c>
      <x:c r="H7" s="80" t="str">
        <x:v>Active source</x:v>
      </x:c>
      <x:c r="I7" s="82" t="n">
        <x:v>38275</x:v>
      </x:c>
      <x:c r="J7" s="80" t="str">
        <x:v>55f1f3f264dc0be2aca31b9b004c8015d37a31017d3908a823482fc4c203e2f2</x:v>
      </x:c>
      <x:c r="K7" s="80" t="str">
        <x:v>Covered</x:v>
      </x:c>
      <x:c r="L7" s="80" t="str">
        <x:v>docs/00_Project_Management/DOC-002_Project_Principles_DE_v3_0_Full_Content_Audited_Complete.docx</x:v>
      </x:c>
      <x:c r="M7" s="82" t="n">
        <x:v>0</x:v>
      </x:c>
    </x:row>
    <x:row r="8" ht="15" hidden="0" customHeight="1">
      <x:c r="A8" s="81" t="str">
        <x:v>docs/00_Project_Management/DOC-002_World_Engine_Project_Principles_RU_v2.docx</x:v>
      </x:c>
      <x:c r="B8" s="81" t="str">
        <x:v>docx</x:v>
      </x:c>
      <x:c r="C8" s="81" t="str">
        <x:v>DOC-002</x:v>
      </x:c>
      <x:c r="D8" s="81" t="str">
        <x:v>RU</x:v>
      </x:c>
      <x:c r="E8" s="81" t="str">
        <x:v>Normative source</x:v>
      </x:c>
      <x:c r="F8" s="83" t="n">
        <x:v>1</x:v>
      </x:c>
      <x:c r="G8" s="81" t="str">
        <x:v>DOC-002_Project_Principles_RU_v3_0_Full_Content_Audited_Complete.docx</x:v>
      </x:c>
      <x:c r="H8" s="81" t="str">
        <x:v>Active source</x:v>
      </x:c>
      <x:c r="I8" s="83" t="n">
        <x:v>38624</x:v>
      </x:c>
      <x:c r="J8" s="81" t="str">
        <x:v>b84c3ed9bc2610906dda181ceeee70feaaf777c396d43cd86fe196ee682cd2bd</x:v>
      </x:c>
      <x:c r="K8" s="81" t="str">
        <x:v>Covered</x:v>
      </x:c>
      <x:c r="L8" s="81" t="str">
        <x:v>docs/00_Project_Management/DOC-002_Project_Principles_RU_v3_0_Full_Content_Audited_Complete.docx</x:v>
      </x:c>
      <x:c r="M8" s="83" t="n">
        <x:v>0</x:v>
      </x:c>
    </x:row>
    <x:row r="9" ht="15" hidden="0" customHeight="1">
      <x:c r="A9" s="80" t="str">
        <x:v>docs/00_Project_Management/DOC-003_World_Engine_Product_Roadmap_DE_v3_1.docx</x:v>
      </x:c>
      <x:c r="B9" s="80" t="str">
        <x:v>docx</x:v>
      </x:c>
      <x:c r="C9" s="80" t="str">
        <x:v>DOC-003</x:v>
      </x:c>
      <x:c r="D9" s="80" t="str">
        <x:v>DE</x:v>
      </x:c>
      <x:c r="E9" s="80" t="str">
        <x:v>Normative source</x:v>
      </x:c>
      <x:c r="F9" s="82" t="n">
        <x:v>1</x:v>
      </x:c>
      <x:c r="G9" s="80" t="str">
        <x:v>DOC-003_Product_Roadmap_DE_v4_0_Full_Content_Audited_Complete.docx</x:v>
      </x:c>
      <x:c r="H9" s="80" t="str">
        <x:v>Active source</x:v>
      </x:c>
      <x:c r="I9" s="82" t="n">
        <x:v>40743</x:v>
      </x:c>
      <x:c r="J9" s="80" t="str">
        <x:v>9c583de2e893ab551e178bd549ff13123845879c65dbc53817f8297400b97f02</x:v>
      </x:c>
      <x:c r="K9" s="80" t="str">
        <x:v>Covered</x:v>
      </x:c>
      <x:c r="L9" s="80" t="str">
        <x:v>docs/00_Project_Management/DOC-003_Product_Roadmap_DE_v4_0_Full_Content_Audited_Complete.docx</x:v>
      </x:c>
      <x:c r="M9" s="82" t="n">
        <x:v>0</x:v>
      </x:c>
    </x:row>
    <x:row r="10" ht="15" hidden="0" customHeight="1">
      <x:c r="A10" s="81" t="str">
        <x:v>docs/00_Project_Management/DOC-003_World_Engine_Product_Roadmap_RU_v3_1.docx</x:v>
      </x:c>
      <x:c r="B10" s="81" t="str">
        <x:v>docx</x:v>
      </x:c>
      <x:c r="C10" s="81" t="str">
        <x:v>DOC-003</x:v>
      </x:c>
      <x:c r="D10" s="81" t="str">
        <x:v>RU</x:v>
      </x:c>
      <x:c r="E10" s="81" t="str">
        <x:v>Normative source</x:v>
      </x:c>
      <x:c r="F10" s="83" t="n">
        <x:v>1</x:v>
      </x:c>
      <x:c r="G10" s="81" t="str">
        <x:v>DOC-003_Product_Roadmap_RU_v4_0_Full_Content_Audited_Complete.docx</x:v>
      </x:c>
      <x:c r="H10" s="81" t="str">
        <x:v>Active source</x:v>
      </x:c>
      <x:c r="I10" s="83" t="n">
        <x:v>41543</x:v>
      </x:c>
      <x:c r="J10" s="81" t="str">
        <x:v>703c1da0128b150b05ff2322859150c3b17f2da55dd80dcbb0731599065f3764</x:v>
      </x:c>
      <x:c r="K10" s="81" t="str">
        <x:v>Covered</x:v>
      </x:c>
      <x:c r="L10" s="81" t="str">
        <x:v>docs/00_Project_Management/DOC-003_Product_Roadmap_RU_v4_0_Full_Content_Audited_Complete.docx</x:v>
      </x:c>
      <x:c r="M10" s="83" t="n">
        <x:v>0</x:v>
      </x:c>
    </x:row>
    <x:row r="11" ht="15" hidden="0" customHeight="1">
      <x:c r="A11" s="80" t="str">
        <x:v>docs/00_Project_Management/DOC-004_World_Engine_Implementation_Roadmap_DE_v2.docx</x:v>
      </x:c>
      <x:c r="B11" s="80" t="str">
        <x:v>docx</x:v>
      </x:c>
      <x:c r="C11" s="80" t="str">
        <x:v>DOC-004</x:v>
      </x:c>
      <x:c r="D11" s="80" t="str">
        <x:v>DE</x:v>
      </x:c>
      <x:c r="E11" s="80" t="str">
        <x:v>Normative source</x:v>
      </x:c>
      <x:c r="F11" s="82" t="n">
        <x:v>1</x:v>
      </x:c>
      <x:c r="G11" s="80" t="str">
        <x:v>DOC-004_Implementation_Roadmap_DE_v3_0_Full_Content_Audited_Complete.docx</x:v>
      </x:c>
      <x:c r="H11" s="80" t="str">
        <x:v>Active source</x:v>
      </x:c>
      <x:c r="I11" s="82" t="n">
        <x:v>41176</x:v>
      </x:c>
      <x:c r="J11" s="80" t="str">
        <x:v>2f111b8f3b1ab6f90dee29cac25cd520095a2d69643842ce60ff7c9b099b3c2d</x:v>
      </x:c>
      <x:c r="K11" s="80" t="str">
        <x:v>Covered</x:v>
      </x:c>
      <x:c r="L11" s="80" t="str">
        <x:v>docs/00_Project_Management/DOC-004_Implementation_Roadmap_DE_v3_0_Full_Content_Audited_Complete.docx</x:v>
      </x:c>
      <x:c r="M11" s="82" t="n">
        <x:v>0</x:v>
      </x:c>
    </x:row>
    <x:row r="12" ht="15" hidden="0" customHeight="1">
      <x:c r="A12" s="81" t="str">
        <x:v>docs/00_Project_Management/DOC-004_World_Engine_Implementation_Roadmap_RU_v2.docx</x:v>
      </x:c>
      <x:c r="B12" s="81" t="str">
        <x:v>docx</x:v>
      </x:c>
      <x:c r="C12" s="81" t="str">
        <x:v>DOC-004</x:v>
      </x:c>
      <x:c r="D12" s="81" t="str">
        <x:v>RU</x:v>
      </x:c>
      <x:c r="E12" s="81" t="str">
        <x:v>Normative source</x:v>
      </x:c>
      <x:c r="F12" s="83" t="n">
        <x:v>1</x:v>
      </x:c>
      <x:c r="G12" s="81" t="str">
        <x:v>DOC-004_Implementation_Roadmap_RU_v3_0_Full_Content_Audited_Complete.docx</x:v>
      </x:c>
      <x:c r="H12" s="81" t="str">
        <x:v>Active source</x:v>
      </x:c>
      <x:c r="I12" s="83" t="n">
        <x:v>41917</x:v>
      </x:c>
      <x:c r="J12" s="81" t="str">
        <x:v>ca60cd8abac847fb5f08e1e219f098d20fb24db8039bd91605a9577c65006751</x:v>
      </x:c>
      <x:c r="K12" s="81" t="str">
        <x:v>Covered</x:v>
      </x:c>
      <x:c r="L12" s="81" t="str">
        <x:v>docs/00_Project_Management/DOC-004_Implementation_Roadmap_RU_v3_0_Full_Content_Audited_Complete.docx</x:v>
      </x:c>
      <x:c r="M12" s="83" t="n">
        <x:v>0</x:v>
      </x:c>
    </x:row>
    <x:row r="13" ht="15" hidden="0" customHeight="1">
      <x:c r="A13" s="80" t="str">
        <x:v>docs/00_Project_Management/DOC-005_World_Engine_Project_Charter_DE_v2.docx</x:v>
      </x:c>
      <x:c r="B13" s="80" t="str">
        <x:v>docx</x:v>
      </x:c>
      <x:c r="C13" s="80" t="str">
        <x:v>DOC-005</x:v>
      </x:c>
      <x:c r="D13" s="80" t="str">
        <x:v>DE</x:v>
      </x:c>
      <x:c r="E13" s="80" t="str">
        <x:v>Normative source</x:v>
      </x:c>
      <x:c r="F13" s="82" t="n">
        <x:v>1</x:v>
      </x:c>
      <x:c r="G13" s="80" t="str">
        <x:v>DOC-005_Project_Charter_DE_v3_0_Full_Content_Audited_Complete.docx</x:v>
      </x:c>
      <x:c r="H13" s="80" t="str">
        <x:v>Active source</x:v>
      </x:c>
      <x:c r="I13" s="82" t="n">
        <x:v>41244</x:v>
      </x:c>
      <x:c r="J13" s="80" t="str">
        <x:v>58b30106c9d3e6bc64ea132c5e1fb997dd20ed6f693939b51818b23f5747c4b3</x:v>
      </x:c>
      <x:c r="K13" s="80" t="str">
        <x:v>Covered</x:v>
      </x:c>
      <x:c r="L13" s="80" t="str">
        <x:v>docs/00_Project_Management/DOC-005_Project_Charter_DE_v3_0_Full_Content_Audited_Complete.docx</x:v>
      </x:c>
      <x:c r="M13" s="82" t="n">
        <x:v>0</x:v>
      </x:c>
    </x:row>
    <x:row r="14" ht="15" hidden="0" customHeight="1">
      <x:c r="A14" s="81" t="str">
        <x:v>docs/00_Project_Management/DOC-005_World_Engine_Project_Charter_RU_v2.docx</x:v>
      </x:c>
      <x:c r="B14" s="81" t="str">
        <x:v>docx</x:v>
      </x:c>
      <x:c r="C14" s="81" t="str">
        <x:v>DOC-005</x:v>
      </x:c>
      <x:c r="D14" s="81" t="str">
        <x:v>RU</x:v>
      </x:c>
      <x:c r="E14" s="81" t="str">
        <x:v>Normative source</x:v>
      </x:c>
      <x:c r="F14" s="83" t="n">
        <x:v>1</x:v>
      </x:c>
      <x:c r="G14" s="81" t="str">
        <x:v>DOC-005_Project_Charter_RU_v3_0_Full_Content_Audited_Complete.docx</x:v>
      </x:c>
      <x:c r="H14" s="81" t="str">
        <x:v>Active source</x:v>
      </x:c>
      <x:c r="I14" s="83" t="n">
        <x:v>41604</x:v>
      </x:c>
      <x:c r="J14" s="81" t="str">
        <x:v>7d7c3066a62fbd6cf973899a6c6d14be42c6c54dc3a5339b685cb2d83c2a947d</x:v>
      </x:c>
      <x:c r="K14" s="81" t="str">
        <x:v>Covered</x:v>
      </x:c>
      <x:c r="L14" s="81" t="str">
        <x:v>docs/00_Project_Management/DOC-005_Project_Charter_RU_v3_0_Full_Content_Audited_Complete.docx</x:v>
      </x:c>
      <x:c r="M14" s="83" t="n">
        <x:v>0</x:v>
      </x:c>
    </x:row>
    <x:row r="15" ht="15" hidden="0" customHeight="1">
      <x:c r="A15" s="80" t="str">
        <x:v>docs/00_Project_Management/DOC-006_World_Engine_Project_Scope_DE_v3.docx</x:v>
      </x:c>
      <x:c r="B15" s="80" t="str">
        <x:v>docx</x:v>
      </x:c>
      <x:c r="C15" s="80" t="str">
        <x:v>DOC-006</x:v>
      </x:c>
      <x:c r="D15" s="80" t="str">
        <x:v>DE</x:v>
      </x:c>
      <x:c r="E15" s="80" t="str">
        <x:v>Normative source</x:v>
      </x:c>
      <x:c r="F15" s="82" t="n">
        <x:v>1</x:v>
      </x:c>
      <x:c r="G15" s="80" t="str">
        <x:v>DOC-006_Project_Scope_DE_v4_0_Full_Content_Audited_Complete.docx</x:v>
      </x:c>
      <x:c r="H15" s="80" t="str">
        <x:v>Active source</x:v>
      </x:c>
      <x:c r="I15" s="82" t="n">
        <x:v>40432</x:v>
      </x:c>
      <x:c r="J15" s="80" t="str">
        <x:v>fb2e909c8add5bf8e1752c9475c427fc741c2f468164b547b8ddd73968a14457</x:v>
      </x:c>
      <x:c r="K15" s="80" t="str">
        <x:v>Covered</x:v>
      </x:c>
      <x:c r="L15" s="80" t="str">
        <x:v>docs/00_Project_Management/DOC-006_Project_Scope_DE_v4_0_Full_Content_Audited_Complete.docx</x:v>
      </x:c>
      <x:c r="M15" s="82" t="n">
        <x:v>0</x:v>
      </x:c>
    </x:row>
    <x:row r="16" ht="15" hidden="0" customHeight="1">
      <x:c r="A16" s="81" t="str">
        <x:v>docs/00_Project_Management/DOC-006_World_Engine_Project_Scope_RU_v3.docx</x:v>
      </x:c>
      <x:c r="B16" s="81" t="str">
        <x:v>docx</x:v>
      </x:c>
      <x:c r="C16" s="81" t="str">
        <x:v>DOC-006</x:v>
      </x:c>
      <x:c r="D16" s="81" t="str">
        <x:v>RU</x:v>
      </x:c>
      <x:c r="E16" s="81" t="str">
        <x:v>Normative source</x:v>
      </x:c>
      <x:c r="F16" s="83" t="n">
        <x:v>1</x:v>
      </x:c>
      <x:c r="G16" s="81" t="str">
        <x:v>DOC-006_Project_Scope_RU_v4_0_Full_Content_Audited_Complete.docx</x:v>
      </x:c>
      <x:c r="H16" s="81" t="str">
        <x:v>Active source</x:v>
      </x:c>
      <x:c r="I16" s="83" t="n">
        <x:v>40659</x:v>
      </x:c>
      <x:c r="J16" s="81" t="str">
        <x:v>695a6baeffd2936338ea71468fd64ba1bf495740d90e04c9eff8e1a8f49cf0ed</x:v>
      </x:c>
      <x:c r="K16" s="81" t="str">
        <x:v>Covered</x:v>
      </x:c>
      <x:c r="L16" s="81" t="str">
        <x:v>docs/00_Project_Management/DOC-006_Project_Scope_RU_v4_0_Full_Content_Audited_Complete.docx</x:v>
      </x:c>
      <x:c r="M16" s="83" t="n">
        <x:v>0</x:v>
      </x:c>
    </x:row>
    <x:row r="17" ht="15" hidden="0" customHeight="1">
      <x:c r="A17" s="80" t="str">
        <x:v>docs/00_Project_Management/DOC-007_World_Engine_Project_Milestones_DE_v1.docx</x:v>
      </x:c>
      <x:c r="B17" s="80" t="str">
        <x:v>docx</x:v>
      </x:c>
      <x:c r="C17" s="80" t="str">
        <x:v>DOC-007</x:v>
      </x:c>
      <x:c r="D17" s="80" t="str">
        <x:v>DE</x:v>
      </x:c>
      <x:c r="E17" s="80" t="str">
        <x:v>Normative source</x:v>
      </x:c>
      <x:c r="F17" s="82" t="n">
        <x:v>1</x:v>
      </x:c>
      <x:c r="G17" s="80" t="str">
        <x:v>DOC-007_Project_Milestones_DE_v2_0_Full_Content_Audited_Complete.docx</x:v>
      </x:c>
      <x:c r="H17" s="80" t="str">
        <x:v>Active source</x:v>
      </x:c>
      <x:c r="I17" s="82" t="n">
        <x:v>40519</x:v>
      </x:c>
      <x:c r="J17" s="80" t="str">
        <x:v>c5d926058f32d88aaf886ad1da407af78c19359b0fb8e26fa649dd915fd7a02b</x:v>
      </x:c>
      <x:c r="K17" s="80" t="str">
        <x:v>Covered</x:v>
      </x:c>
      <x:c r="L17" s="80" t="str">
        <x:v>docs/00_Project_Management/DOC-007_Project_Milestones_DE_v2_0_Full_Content_Audited_Complete.docx</x:v>
      </x:c>
      <x:c r="M17" s="82" t="n">
        <x:v>0</x:v>
      </x:c>
    </x:row>
    <x:row r="18" ht="15" hidden="0" customHeight="1">
      <x:c r="A18" s="81" t="str">
        <x:v>docs/00_Project_Management/DOC-007_World_Engine_Project_Milestones_RU_v1.docx</x:v>
      </x:c>
      <x:c r="B18" s="81" t="str">
        <x:v>docx</x:v>
      </x:c>
      <x:c r="C18" s="81" t="str">
        <x:v>DOC-007</x:v>
      </x:c>
      <x:c r="D18" s="81" t="str">
        <x:v>RU</x:v>
      </x:c>
      <x:c r="E18" s="81" t="str">
        <x:v>Normative source</x:v>
      </x:c>
      <x:c r="F18" s="83" t="n">
        <x:v>1</x:v>
      </x:c>
      <x:c r="G18" s="81" t="str">
        <x:v>DOC-007_Project_Milestones_RU_v2_0_Full_Content_Audited_Complete.docx</x:v>
      </x:c>
      <x:c r="H18" s="81" t="str">
        <x:v>Active source</x:v>
      </x:c>
      <x:c r="I18" s="83" t="n">
        <x:v>41124</x:v>
      </x:c>
      <x:c r="J18" s="81" t="str">
        <x:v>5e8d23a76275090d15637ce347d280d52c24dbbb28ef1f60193556472e5a663b</x:v>
      </x:c>
      <x:c r="K18" s="81" t="str">
        <x:v>Covered</x:v>
      </x:c>
      <x:c r="L18" s="81" t="str">
        <x:v>docs/00_Project_Management/DOC-007_Project_Milestones_RU_v2_0_Full_Content_Audited_Complete.docx</x:v>
      </x:c>
      <x:c r="M18" s="83" t="n">
        <x:v>0</x:v>
      </x:c>
    </x:row>
    <x:row r="19" ht="15" hidden="0" customHeight="1">
      <x:c r="A19" s="80" t="str">
        <x:v>docs/00_Project_Management/DOC-008_World_Engine_Release_Plan_DE_v1.docx</x:v>
      </x:c>
      <x:c r="B19" s="80" t="str">
        <x:v>docx</x:v>
      </x:c>
      <x:c r="C19" s="80" t="str">
        <x:v>DOC-008</x:v>
      </x:c>
      <x:c r="D19" s="80" t="str">
        <x:v>DE</x:v>
      </x:c>
      <x:c r="E19" s="80" t="str">
        <x:v>Normative source</x:v>
      </x:c>
      <x:c r="F19" s="82" t="n">
        <x:v>1</x:v>
      </x:c>
      <x:c r="G19" s="80" t="str">
        <x:v>DOC-008_Release_Plan_DE_v2_0_Full_Content_Audited_Complete.docx</x:v>
      </x:c>
      <x:c r="H19" s="80" t="str">
        <x:v>Active source</x:v>
      </x:c>
      <x:c r="I19" s="82" t="n">
        <x:v>39946</x:v>
      </x:c>
      <x:c r="J19" s="80" t="str">
        <x:v>065fce47983c288a1a2d92b0e9f4f586ba1012adb860a63b52b4e60af595129e</x:v>
      </x:c>
      <x:c r="K19" s="80" t="str">
        <x:v>Covered</x:v>
      </x:c>
      <x:c r="L19" s="80" t="str">
        <x:v>docs/00_Project_Management/DOC-008_Release_Plan_DE_v2_0_Full_Content_Audited_Complete.docx</x:v>
      </x:c>
      <x:c r="M19" s="82" t="n">
        <x:v>0</x:v>
      </x:c>
    </x:row>
    <x:row r="20" ht="15" hidden="0" customHeight="1">
      <x:c r="A20" s="81" t="str">
        <x:v>docs/00_Project_Management/DOC-008_World_Engine_Release_Plan_RU_v1.docx</x:v>
      </x:c>
      <x:c r="B20" s="81" t="str">
        <x:v>docx</x:v>
      </x:c>
      <x:c r="C20" s="81" t="str">
        <x:v>DOC-008</x:v>
      </x:c>
      <x:c r="D20" s="81" t="str">
        <x:v>RU</x:v>
      </x:c>
      <x:c r="E20" s="81" t="str">
        <x:v>Normative source</x:v>
      </x:c>
      <x:c r="F20" s="83" t="n">
        <x:v>1</x:v>
      </x:c>
      <x:c r="G20" s="81" t="str">
        <x:v>DOC-008_Release_Plan_RU_v2_0_Full_Content_Audited_Complete.docx</x:v>
      </x:c>
      <x:c r="H20" s="81" t="str">
        <x:v>Active source</x:v>
      </x:c>
      <x:c r="I20" s="83" t="n">
        <x:v>40506</x:v>
      </x:c>
      <x:c r="J20" s="81" t="str">
        <x:v>14470d90c10f2bb5ce464ceb938b1dc089cd147ddd4744eb4df32090dff98a92</x:v>
      </x:c>
      <x:c r="K20" s="81" t="str">
        <x:v>Covered</x:v>
      </x:c>
      <x:c r="L20" s="81" t="str">
        <x:v>docs/00_Project_Management/DOC-008_Release_Plan_RU_v2_0_Full_Content_Audited_Complete.docx</x:v>
      </x:c>
      <x:c r="M20" s="83" t="n">
        <x:v>0</x:v>
      </x:c>
    </x:row>
    <x:row r="21" ht="21.600000381469727" hidden="0" customHeight="1">
      <x:c r="A21" s="80" t="str">
        <x:v>docs/01_Architecture/ARCH-001_Overall_System_Architecture/ARCH-001_World_Engine_Overall_System_Architecture_DE_v1_4_Architecture_Audited_Complete.docx</x:v>
      </x:c>
      <x:c r="B21" s="80" t="str">
        <x:v>docx</x:v>
      </x:c>
      <x:c r="C21" s="80" t="str">
        <x:v>ARCH-001</x:v>
      </x:c>
      <x:c r="D21" s="80" t="str">
        <x:v>DE</x:v>
      </x:c>
      <x:c r="E21" s="80" t="str">
        <x:v>Normative source</x:v>
      </x:c>
      <x:c r="F21" s="82" t="n">
        <x:v>1</x:v>
      </x:c>
      <x:c r="G21" s="80" t="str">
        <x:v>ARCH-001_Overall_System_Architecture_DE_v2_0_Full_Content_Audited_Complete.docx</x:v>
      </x:c>
      <x:c r="H21" s="80" t="str">
        <x:v>Active source</x:v>
      </x:c>
      <x:c r="I21" s="82" t="n">
        <x:v>40488</x:v>
      </x:c>
      <x:c r="J21" s="80" t="str">
        <x:v>471b1a7567f12fc0ae80327834e37108e6f8ebb497e7ea2a3eb4294f44ff80af</x:v>
      </x:c>
      <x:c r="K21" s="80" t="str">
        <x:v>Covered</x:v>
      </x:c>
      <x:c r="L21" s="80" t="str">
        <x:v>docs/01_Architecture/ARCH-001_Overall_System_Architecture/ARCH-001_Overall_System_Architecture_DE_v2_0_Full_Content_Audited_Complete.docx</x:v>
      </x:c>
      <x:c r="M21" s="82" t="n">
        <x:v>0</x:v>
      </x:c>
    </x:row>
    <x:row r="22" ht="21.600000381469727" hidden="0" customHeight="1">
      <x:c r="A22" s="81" t="str">
        <x:v>docs/01_Architecture/ARCH-001_Overall_System_Architecture/ARCH-001_World_Engine_Overall_System_Architecture_RU_v1_4_Architecture_Audited_Complete.docx</x:v>
      </x:c>
      <x:c r="B22" s="81" t="str">
        <x:v>docx</x:v>
      </x:c>
      <x:c r="C22" s="81" t="str">
        <x:v>ARCH-001</x:v>
      </x:c>
      <x:c r="D22" s="81" t="str">
        <x:v>RU</x:v>
      </x:c>
      <x:c r="E22" s="81" t="str">
        <x:v>Normative source</x:v>
      </x:c>
      <x:c r="F22" s="83" t="n">
        <x:v>1</x:v>
      </x:c>
      <x:c r="G22" s="81" t="str">
        <x:v>ARCH-001_Overall_System_Architecture_RU_v2_0_Full_Content_Audited_Complete.docx</x:v>
      </x:c>
      <x:c r="H22" s="81" t="str">
        <x:v>Active source</x:v>
      </x:c>
      <x:c r="I22" s="83" t="n">
        <x:v>41064</x:v>
      </x:c>
      <x:c r="J22" s="81" t="str">
        <x:v>c35ddaf43fb5c64819979f5782e368d37a249b45cbe080062bc5aeec338e995a</x:v>
      </x:c>
      <x:c r="K22" s="81" t="str">
        <x:v>Covered</x:v>
      </x:c>
      <x:c r="L22" s="81" t="str">
        <x:v>docs/01_Architecture/ARCH-001_Overall_System_Architecture/ARCH-001_Overall_System_Architecture_RU_v2_0_Full_Content_Audited_Complete.docx</x:v>
      </x:c>
      <x:c r="M22" s="83" t="n">
        <x:v>0</x:v>
      </x:c>
    </x:row>
    <x:row r="23" ht="21.600000381469727" hidden="0" customHeight="1">
      <x:c r="A23" s="80" t="str">
        <x:v>docs/01_Architecture/ARCH-002_Module_Architecture/ARCH-002_World_Engine_Module_Architecture_DE_v1_4_Architecture_Audited_Complete.docx</x:v>
      </x:c>
      <x:c r="B23" s="80" t="str">
        <x:v>docx</x:v>
      </x:c>
      <x:c r="C23" s="80" t="str">
        <x:v>ARCH-002</x:v>
      </x:c>
      <x:c r="D23" s="80" t="str">
        <x:v>DE</x:v>
      </x:c>
      <x:c r="E23" s="80" t="str">
        <x:v>Normative source</x:v>
      </x:c>
      <x:c r="F23" s="82" t="n">
        <x:v>1</x:v>
      </x:c>
      <x:c r="G23" s="80" t="str">
        <x:v>ARCH-002_Module_Architecture_DE_v2_0_Full_Content_Audited_Complete.docx</x:v>
      </x:c>
      <x:c r="H23" s="80" t="str">
        <x:v>Active source</x:v>
      </x:c>
      <x:c r="I23" s="82" t="n">
        <x:v>40114</x:v>
      </x:c>
      <x:c r="J23" s="80" t="str">
        <x:v>4417747ea3f4a87040db4d7c84d43117996e91f9beca8fc5696cd8d4d46a7a7a</x:v>
      </x:c>
      <x:c r="K23" s="80" t="str">
        <x:v>Covered</x:v>
      </x:c>
      <x:c r="L23" s="80" t="str">
        <x:v>docs/01_Architecture/ARCH-002_Module_Architecture/ARCH-002_Module_Architecture_DE_v2_0_Full_Content_Audited_Complete.docx</x:v>
      </x:c>
      <x:c r="M23" s="82" t="n">
        <x:v>0</x:v>
      </x:c>
    </x:row>
    <x:row r="24" ht="21.600000381469727" hidden="0" customHeight="1">
      <x:c r="A24" s="81" t="str">
        <x:v>docs/01_Architecture/ARCH-002_Module_Architecture/ARCH-002_World_Engine_Module_Architecture_RU_v1_4_Architecture_Audited_Complete.docx</x:v>
      </x:c>
      <x:c r="B24" s="81" t="str">
        <x:v>docx</x:v>
      </x:c>
      <x:c r="C24" s="81" t="str">
        <x:v>ARCH-002</x:v>
      </x:c>
      <x:c r="D24" s="81" t="str">
        <x:v>RU</x:v>
      </x:c>
      <x:c r="E24" s="81" t="str">
        <x:v>Normative source</x:v>
      </x:c>
      <x:c r="F24" s="83" t="n">
        <x:v>1</x:v>
      </x:c>
      <x:c r="G24" s="81" t="str">
        <x:v>ARCH-002_Module_Architecture_RU_v2_0_Full_Content_Audited_Complete.docx</x:v>
      </x:c>
      <x:c r="H24" s="81" t="str">
        <x:v>Active source</x:v>
      </x:c>
      <x:c r="I24" s="83" t="n">
        <x:v>40518</x:v>
      </x:c>
      <x:c r="J24" s="81" t="str">
        <x:v>b09c7a5e0788368db50236aa0a03558c0a0f4e116f37db22933b900d4867ae8c</x:v>
      </x:c>
      <x:c r="K24" s="81" t="str">
        <x:v>Covered</x:v>
      </x:c>
      <x:c r="L24" s="81" t="str">
        <x:v>docs/01_Architecture/ARCH-002_Module_Architecture/ARCH-002_Module_Architecture_RU_v2_0_Full_Content_Audited_Complete.docx</x:v>
      </x:c>
      <x:c r="M24" s="83" t="n">
        <x:v>0</x:v>
      </x:c>
    </x:row>
    <x:row r="25" ht="21.600000381469727" hidden="0" customHeight="1">
      <x:c r="A25" s="80" t="str">
        <x:v>docs/01_Architecture/ARCH-003_Data_Flow/ARCH-003_World_Engine_Data_Flow_DE_v1_4_Architecture_Audited_Complete.docx</x:v>
      </x:c>
      <x:c r="B25" s="80" t="str">
        <x:v>docx</x:v>
      </x:c>
      <x:c r="C25" s="80" t="str">
        <x:v>ARCH-003</x:v>
      </x:c>
      <x:c r="D25" s="80" t="str">
        <x:v>DE</x:v>
      </x:c>
      <x:c r="E25" s="80" t="str">
        <x:v>Normative source</x:v>
      </x:c>
      <x:c r="F25" s="82" t="n">
        <x:v>1</x:v>
      </x:c>
      <x:c r="G25" s="80" t="str">
        <x:v>ARCH-003_Data_Flow_DE_v2_0_Full_Content_Audited_Complete.docx</x:v>
      </x:c>
      <x:c r="H25" s="80" t="str">
        <x:v>Active source</x:v>
      </x:c>
      <x:c r="I25" s="82" t="n">
        <x:v>40384</x:v>
      </x:c>
      <x:c r="J25" s="80" t="str">
        <x:v>b5d9edd33f9ae1011d2c759e0021090e041747a3a2f19a0ec10c6b9b6a81aae0</x:v>
      </x:c>
      <x:c r="K25" s="80" t="str">
        <x:v>Covered</x:v>
      </x:c>
      <x:c r="L25" s="80" t="str">
        <x:v>docs/01_Architecture/ARCH-003_Data_Flow/ARCH-003_Data_Flow_DE_v2_0_Full_Content_Audited_Complete.docx</x:v>
      </x:c>
      <x:c r="M25" s="82" t="n">
        <x:v>0</x:v>
      </x:c>
    </x:row>
    <x:row r="26" ht="21.600000381469727" hidden="0" customHeight="1">
      <x:c r="A26" s="81" t="str">
        <x:v>docs/01_Architecture/ARCH-003_Data_Flow/ARCH-003_World_Engine_Data_Flow_RU_v1_4_Architecture_Audited_Complete.docx</x:v>
      </x:c>
      <x:c r="B26" s="81" t="str">
        <x:v>docx</x:v>
      </x:c>
      <x:c r="C26" s="81" t="str">
        <x:v>ARCH-003</x:v>
      </x:c>
      <x:c r="D26" s="81" t="str">
        <x:v>RU</x:v>
      </x:c>
      <x:c r="E26" s="81" t="str">
        <x:v>Normative source</x:v>
      </x:c>
      <x:c r="F26" s="83" t="n">
        <x:v>1</x:v>
      </x:c>
      <x:c r="G26" s="81" t="str">
        <x:v>ARCH-003_Data_Flow_RU_v2_0_Full_Content_Audited_Complete.docx</x:v>
      </x:c>
      <x:c r="H26" s="81" t="str">
        <x:v>Active source</x:v>
      </x:c>
      <x:c r="I26" s="83" t="n">
        <x:v>40704</x:v>
      </x:c>
      <x:c r="J26" s="81" t="str">
        <x:v>a0d9fd1e5bfd1a0f92ec6d6bbed7400ede62d7dde85c87409594ab6614dddc36</x:v>
      </x:c>
      <x:c r="K26" s="81" t="str">
        <x:v>Covered</x:v>
      </x:c>
      <x:c r="L26" s="81" t="str">
        <x:v>docs/01_Architecture/ARCH-003_Data_Flow/ARCH-003_Data_Flow_RU_v2_0_Full_Content_Audited_Complete.docx</x:v>
      </x:c>
      <x:c r="M26" s="83" t="n">
        <x:v>0</x:v>
      </x:c>
    </x:row>
    <x:row r="27" ht="21.600000381469727" hidden="0" customHeight="1">
      <x:c r="A27" s="80" t="str">
        <x:v>docs/01_Architecture/ARCH-004_Architecture_Principles_and_Dependency_Rules/ARCH-004_World_Engine_Architecture_Principles_and_Dependency_Rules_DE_v1_4_Architecture_Audited_Complete.docx</x:v>
      </x:c>
      <x:c r="B27" s="80" t="str">
        <x:v>docx</x:v>
      </x:c>
      <x:c r="C27" s="80" t="str">
        <x:v>ARCH-004</x:v>
      </x:c>
      <x:c r="D27" s="80" t="str">
        <x:v>DE</x:v>
      </x:c>
      <x:c r="E27" s="80" t="str">
        <x:v>Normative source</x:v>
      </x:c>
      <x:c r="F27" s="82" t="n">
        <x:v>1</x:v>
      </x:c>
      <x:c r="G27" s="80" t="str">
        <x:v>ARCH-004_Architecture_Principles_and_Dependency_Rules_DE_v2_0_Full_Content_Audited_Complete.docx</x:v>
      </x:c>
      <x:c r="H27" s="80" t="str">
        <x:v>Active source</x:v>
      </x:c>
      <x:c r="I27" s="82" t="n">
        <x:v>40414</x:v>
      </x:c>
      <x:c r="J27" s="80" t="str">
        <x:v>02d09c8af8bde7d3f3a97d7be53cee4f14668d30f7d872b2d969eee055d918cf</x:v>
      </x:c>
      <x:c r="K27" s="80" t="str">
        <x:v>Covered</x:v>
      </x:c>
      <x:c r="L27" s="80" t="str">
        <x:v>docs/01_Architecture/ARCH-004_Architecture_Principles_and_Dependency_Rules/ARCH-004_Architecture_Principles_and_Dependency_Rules_DE_v2_0_Full_Content_Audited_Complete.docx</x:v>
      </x:c>
      <x:c r="M27" s="82" t="n">
        <x:v>0</x:v>
      </x:c>
    </x:row>
    <x:row r="28" ht="21.600000381469727" hidden="0" customHeight="1">
      <x:c r="A28" s="81" t="str">
        <x:v>docs/01_Architecture/ARCH-004_Architecture_Principles_and_Dependency_Rules/ARCH-004_World_Engine_Architecture_Principles_and_Dependency_Rules_RU_v1_4_Architecture_Audited_Complete.docx</x:v>
      </x:c>
      <x:c r="B28" s="81" t="str">
        <x:v>docx</x:v>
      </x:c>
      <x:c r="C28" s="81" t="str">
        <x:v>ARCH-004</x:v>
      </x:c>
      <x:c r="D28" s="81" t="str">
        <x:v>RU</x:v>
      </x:c>
      <x:c r="E28" s="81" t="str">
        <x:v>Normative source</x:v>
      </x:c>
      <x:c r="F28" s="83" t="n">
        <x:v>1</x:v>
      </x:c>
      <x:c r="G28" s="81" t="str">
        <x:v>ARCH-004_Architecture_Principles_and_Dependency_Rules_RU_v2_0_Full_Content_Audited_Complete.docx</x:v>
      </x:c>
      <x:c r="H28" s="81" t="str">
        <x:v>Active source</x:v>
      </x:c>
      <x:c r="I28" s="83" t="n">
        <x:v>40821</x:v>
      </x:c>
      <x:c r="J28" s="81" t="str">
        <x:v>13796aed2f4d005ab4ee01ec31d60035667e7c2c15260d8b6b252b9ffcef2808</x:v>
      </x:c>
      <x:c r="K28" s="81" t="str">
        <x:v>Covered</x:v>
      </x:c>
      <x:c r="L28" s="81" t="str">
        <x:v>docs/01_Architecture/ARCH-004_Architecture_Principles_and_Dependency_Rules/ARCH-004_Architecture_Principles_and_Dependency_Rules_RU_v2_0_Full_Content_Audited_Complete.docx</x:v>
      </x:c>
      <x:c r="M28" s="83" t="n">
        <x:v>0</x:v>
      </x:c>
    </x:row>
    <x:row r="29" ht="21.600000381469727" hidden="0" customHeight="1">
      <x:c r="A29" s="80" t="str">
        <x:v>docs/01_Architecture/ARCH-005_Module_Dependencies/ARCH-005_World_Engine_Module_Dependencies_DE_v1_4_Architecture_Audited_Complete.docx</x:v>
      </x:c>
      <x:c r="B29" s="80" t="str">
        <x:v>docx</x:v>
      </x:c>
      <x:c r="C29" s="80" t="str">
        <x:v>ARCH-005</x:v>
      </x:c>
      <x:c r="D29" s="80" t="str">
        <x:v>DE</x:v>
      </x:c>
      <x:c r="E29" s="80" t="str">
        <x:v>Normative source</x:v>
      </x:c>
      <x:c r="F29" s="82" t="n">
        <x:v>1</x:v>
      </x:c>
      <x:c r="G29" s="80" t="str">
        <x:v>ARCH-005_Module_Dependencies_DE_v2_0_Full_Content_Audited_Complete.docx</x:v>
      </x:c>
      <x:c r="H29" s="80" t="str">
        <x:v>Active source</x:v>
      </x:c>
      <x:c r="I29" s="82" t="n">
        <x:v>40583</x:v>
      </x:c>
      <x:c r="J29" s="80" t="str">
        <x:v>2445a0498cbdbb51bed28d0b03e34673b2b8fae5c4701728bb69d2a99706fc48</x:v>
      </x:c>
      <x:c r="K29" s="80" t="str">
        <x:v>Covered</x:v>
      </x:c>
      <x:c r="L29" s="80" t="str">
        <x:v>docs/01_Architecture/ARCH-005_Module_Dependencies/ARCH-005_Module_Dependencies_DE_v2_0_Full_Content_Audited_Complete.docx</x:v>
      </x:c>
      <x:c r="M29" s="82" t="n">
        <x:v>0</x:v>
      </x:c>
    </x:row>
    <x:row r="30" ht="21.600000381469727" hidden="0" customHeight="1">
      <x:c r="A30" s="81" t="str">
        <x:v>docs/01_Architecture/ARCH-005_Module_Dependencies/ARCH-005_World_Engine_Module_Dependencies_RU_v1_4_Architecture_Audited_Complete.docx</x:v>
      </x:c>
      <x:c r="B30" s="81" t="str">
        <x:v>docx</x:v>
      </x:c>
      <x:c r="C30" s="81" t="str">
        <x:v>ARCH-005</x:v>
      </x:c>
      <x:c r="D30" s="81" t="str">
        <x:v>RU</x:v>
      </x:c>
      <x:c r="E30" s="81" t="str">
        <x:v>Normative source</x:v>
      </x:c>
      <x:c r="F30" s="83" t="n">
        <x:v>1</x:v>
      </x:c>
      <x:c r="G30" s="81" t="str">
        <x:v>ARCH-005_Module_Dependencies_RU_v2_0_Full_Content_Audited_Complete.docx</x:v>
      </x:c>
      <x:c r="H30" s="81" t="str">
        <x:v>Active source</x:v>
      </x:c>
      <x:c r="I30" s="83" t="n">
        <x:v>40886</x:v>
      </x:c>
      <x:c r="J30" s="81" t="str">
        <x:v>c1a859ed4d788488a0b3552f9d8be3134745e60e4cec534b91878f95f3776d6c</x:v>
      </x:c>
      <x:c r="K30" s="81" t="str">
        <x:v>Covered</x:v>
      </x:c>
      <x:c r="L30" s="81" t="str">
        <x:v>docs/01_Architecture/ARCH-005_Module_Dependencies/ARCH-005_Module_Dependencies_RU_v2_0_Full_Content_Audited_Complete.docx</x:v>
      </x:c>
      <x:c r="M30" s="83" t="n">
        <x:v>0</x:v>
      </x:c>
    </x:row>
    <x:row r="31" ht="43.20000076293945" hidden="0" customHeight="1">
      <x:c r="A31" s="80" t="str">
        <x:v>docs/01_Architecture/ARCH-006_Component_Diagram/ARCH-006_Component_Diagram_Audited_Source_v1_2.md</x:v>
      </x:c>
      <x:c r="B31" s="80" t="str">
        <x:v>md</x:v>
      </x:c>
      <x:c r="C31" s="80" t="str">
        <x:v>ARCH-006</x:v>
      </x:c>
      <x:c r="D31" s="80" t="str">
        <x:v>Mixed / technical</x:v>
      </x:c>
      <x:c r="E31" s="80" t="str">
        <x:v>Audited source</x:v>
      </x:c>
      <x:c r="F31" s="82" t="n">
        <x:v>2</x:v>
      </x:c>
      <x:c r="G31" s="80" t="str">
        <x:v>ARCH-006_Component_Diagram_DE_v2_0_Full_Content_Audited_Complete.docx
ARCH-006_Component_Diagram_RU_v2_0_Full_Content_Audited_Complete.docx</x:v>
      </x:c>
      <x:c r="H31" s="80" t="str">
        <x:v>Active source</x:v>
      </x:c>
      <x:c r="I31" s="82" t="n">
        <x:v>7634</x:v>
      </x:c>
      <x:c r="J31" s="80" t="str">
        <x:v>78a5232a5c2cb8de778c03e7aab38a77ea9b6d47dae85029e49f5e56ef7b3ba3</x:v>
      </x:c>
      <x:c r="K31" s="80" t="str">
        <x:v>Covered</x:v>
      </x:c>
      <x:c r="L31" s="80" t="str">
        <x:v>docs/01_Architecture/ARCH-006_Component_Diagram/ARCH-006_Component_Diagram_DE_v2_0_Full_Content_Audited_Complete.docx
docs/01_Architecture/ARCH-006_Component_Diagram/ARCH-006_Component_Diagram_RU_v2_0_Full_Content_Audited_Complete.docx</x:v>
      </x:c>
      <x:c r="M31" s="82" t="n">
        <x:v>0</x:v>
      </x:c>
    </x:row>
    <x:row r="32" ht="43.20000076293945" hidden="0" customHeight="1">
      <x:c r="A32" s="81" t="str">
        <x:v>docs/01_Architecture/ARCH-006_Component_Diagram/ARCH-006_Component_Diagram_v1_2_Architecture_Audited.svg</x:v>
      </x:c>
      <x:c r="B32" s="81" t="str">
        <x:v>svg</x:v>
      </x:c>
      <x:c r="C32" s="81" t="str">
        <x:v>ARCH-006</x:v>
      </x:c>
      <x:c r="D32" s="81" t="str">
        <x:v>Mixed / technical</x:v>
      </x:c>
      <x:c r="E32" s="81" t="str">
        <x:v>Diagram or image source</x:v>
      </x:c>
      <x:c r="F32" s="83" t="n">
        <x:v>2</x:v>
      </x:c>
      <x:c r="G32" s="81" t="str">
        <x:v>ARCH-006_Component_Diagram_DE_v2_0_Full_Content_Audited_Complete.docx
ARCH-006_Component_Diagram_RU_v2_0_Full_Content_Audited_Complete.docx</x:v>
      </x:c>
      <x:c r="H32" s="81" t="str">
        <x:v>Active source</x:v>
      </x:c>
      <x:c r="I32" s="83" t="n">
        <x:v>20500</x:v>
      </x:c>
      <x:c r="J32" s="81" t="str">
        <x:v>89278869acc0e7d23d344c9fd6aa71301c9bb38c7a136b1708e02a0ed65ee2fe</x:v>
      </x:c>
      <x:c r="K32" s="81" t="str">
        <x:v>Covered</x:v>
      </x:c>
      <x:c r="L32" s="81" t="str">
        <x:v>docs/01_Architecture/ARCH-006_Component_Diagram/ARCH-006_Component_Diagram_DE_v2_0_Full_Content_Audited_Complete.docx
docs/01_Architecture/ARCH-006_Component_Diagram/ARCH-006_Component_Diagram_RU_v2_0_Full_Content_Audited_Complete.docx</x:v>
      </x:c>
      <x:c r="M32" s="83" t="n">
        <x:v>0</x:v>
      </x:c>
    </x:row>
    <x:row r="33" ht="43.20000076293945" hidden="0" customHeight="1">
      <x:c r="A33" s="80" t="str">
        <x:v>docs/01_Architecture/ARCH-007_Sequence_Diagrams/ARCH-007_Sequence_Diagrams_Audited_Source_v4.md</x:v>
      </x:c>
      <x:c r="B33" s="80" t="str">
        <x:v>md</x:v>
      </x:c>
      <x:c r="C33" s="80" t="str">
        <x:v>ARCH-007</x:v>
      </x:c>
      <x:c r="D33" s="80" t="str">
        <x:v>Mixed / technical</x:v>
      </x:c>
      <x:c r="E33" s="80" t="str">
        <x:v>Audited source</x:v>
      </x:c>
      <x:c r="F33" s="82" t="n">
        <x:v>2</x:v>
      </x:c>
      <x:c r="G33" s="80" t="str">
        <x:v>ARCH-007_Sequence_Diagrams_DE_v5_0_Full_Content_Audited_Complete.docx
ARCH-007_Sequence_Diagrams_RU_v5_0_Full_Content_Audited_Complete.docx</x:v>
      </x:c>
      <x:c r="H33" s="80" t="str">
        <x:v>Active source</x:v>
      </x:c>
      <x:c r="I33" s="82" t="n">
        <x:v>15354</x:v>
      </x:c>
      <x:c r="J33" s="80" t="str">
        <x:v>b670262b3883ac684ec48ab6f1db51a703eccd422a02777b48521161d6755e4b</x:v>
      </x:c>
      <x:c r="K33" s="80" t="str">
        <x:v>Covered</x:v>
      </x:c>
      <x:c r="L33" s="80" t="str">
        <x:v>docs/01_Architecture/ARCH-007_Sequence_Diagrams/ARCH-007_Sequence_Diagrams_DE_v5_0_Full_Content_Audited_Complete.docx
docs/01_Architecture/ARCH-007_Sequence_Diagrams/ARCH-007_Sequence_Diagrams_RU_v5_0_Full_Content_Audited_Complete.docx</x:v>
      </x:c>
      <x:c r="M33" s="82" t="n">
        <x:v>0</x:v>
      </x:c>
    </x:row>
    <x:row r="34" ht="21.600000381469727" hidden="0" customHeight="1">
      <x:c r="A34" s="81" t="str">
        <x:v>docs/01_Architecture/ARCH-007_Sequence_Diagrams/ARCH-007_Sequence_Diagrams_DE_v4_Architecture_Audited_Complete.docx</x:v>
      </x:c>
      <x:c r="B34" s="81" t="str">
        <x:v>docx</x:v>
      </x:c>
      <x:c r="C34" s="81" t="str">
        <x:v>ARCH-007</x:v>
      </x:c>
      <x:c r="D34" s="81" t="str">
        <x:v>DE</x:v>
      </x:c>
      <x:c r="E34" s="81" t="str">
        <x:v>Normative source</x:v>
      </x:c>
      <x:c r="F34" s="83" t="n">
        <x:v>1</x:v>
      </x:c>
      <x:c r="G34" s="81" t="str">
        <x:v>ARCH-007_Sequence_Diagrams_DE_v5_0_Full_Content_Audited_Complete.docx</x:v>
      </x:c>
      <x:c r="H34" s="81" t="str">
        <x:v>Active source</x:v>
      </x:c>
      <x:c r="I34" s="83" t="n">
        <x:v>41068</x:v>
      </x:c>
      <x:c r="J34" s="81" t="str">
        <x:v>75e00c0156f7a1345bc986cd63fab6cd257ac634800a45c8de3a9ca7db6a6c24</x:v>
      </x:c>
      <x:c r="K34" s="81" t="str">
        <x:v>Covered</x:v>
      </x:c>
      <x:c r="L34" s="81" t="str">
        <x:v>docs/01_Architecture/ARCH-007_Sequence_Diagrams/ARCH-007_Sequence_Diagrams_DE_v5_0_Full_Content_Audited_Complete.docx</x:v>
      </x:c>
      <x:c r="M34" s="83" t="n">
        <x:v>0</x:v>
      </x:c>
    </x:row>
    <x:row r="35" ht="21.600000381469727" hidden="0" customHeight="1">
      <x:c r="A35" s="80" t="str">
        <x:v>docs/01_Architecture/ARCH-007_Sequence_Diagrams/ARCH-007_Sequence_Diagrams_RU_v4_Architecture_Audited_Complete.docx</x:v>
      </x:c>
      <x:c r="B35" s="80" t="str">
        <x:v>docx</x:v>
      </x:c>
      <x:c r="C35" s="80" t="str">
        <x:v>ARCH-007</x:v>
      </x:c>
      <x:c r="D35" s="80" t="str">
        <x:v>RU</x:v>
      </x:c>
      <x:c r="E35" s="80" t="str">
        <x:v>Normative source</x:v>
      </x:c>
      <x:c r="F35" s="82" t="n">
        <x:v>1</x:v>
      </x:c>
      <x:c r="G35" s="80" t="str">
        <x:v>ARCH-007_Sequence_Diagrams_RU_v5_0_Full_Content_Audited_Complete.docx</x:v>
      </x:c>
      <x:c r="H35" s="80" t="str">
        <x:v>Active source</x:v>
      </x:c>
      <x:c r="I35" s="82" t="n">
        <x:v>41599</x:v>
      </x:c>
      <x:c r="J35" s="80" t="str">
        <x:v>cbbba985770bb0203bfda3a59e03902b69bd61f4ffd028e13a6f0e0855e13813</x:v>
      </x:c>
      <x:c r="K35" s="80" t="str">
        <x:v>Covered</x:v>
      </x:c>
      <x:c r="L35" s="80" t="str">
        <x:v>docs/01_Architecture/ARCH-007_Sequence_Diagrams/ARCH-007_Sequence_Diagrams_RU_v5_0_Full_Content_Audited_Complete.docx</x:v>
      </x:c>
      <x:c r="M35" s="82" t="n">
        <x:v>0</x:v>
      </x:c>
    </x:row>
    <x:row r="36" ht="43.20000076293945" hidden="0" customHeight="1">
      <x:c r="A36" s="81" t="str">
        <x:v>docs/01_Architecture/ARCH-008_Deployment_Architecture/ARCH-008_Deployment_Architecture_Audited_Source_v1_1.md</x:v>
      </x:c>
      <x:c r="B36" s="81" t="str">
        <x:v>md</x:v>
      </x:c>
      <x:c r="C36" s="81" t="str">
        <x:v>ARCH-008</x:v>
      </x:c>
      <x:c r="D36" s="81" t="str">
        <x:v>Mixed / technical</x:v>
      </x:c>
      <x:c r="E36" s="81" t="str">
        <x:v>Audited source</x:v>
      </x:c>
      <x:c r="F36" s="83" t="n">
        <x:v>2</x:v>
      </x:c>
      <x:c r="G36" s="81" t="str">
        <x:v>ARCH-008_Deployment_Architecture_DE_v2_0_Full_Content_Audited_Complete.docx
ARCH-008_Deployment_Architecture_RU_v2_0_Full_Content_Audited_Complete.docx</x:v>
      </x:c>
      <x:c r="H36" s="81" t="str">
        <x:v>Active source</x:v>
      </x:c>
      <x:c r="I36" s="83" t="n">
        <x:v>8741</x:v>
      </x:c>
      <x:c r="J36" s="81" t="str">
        <x:v>9ed2e3aa4c78f5843a84d80c78f2e7ba11a16c0f9d331c95300e9c9758314895</x:v>
      </x:c>
      <x:c r="K36" s="81" t="str">
        <x:v>Covered</x:v>
      </x:c>
      <x:c r="L36" s="81" t="str">
        <x:v>docs/01_Architecture/ARCH-008_Deployment_Architecture/ARCH-008_Deployment_Architecture_DE_v2_0_Full_Content_Audited_Complete.docx
docs/01_Architecture/ARCH-008_Deployment_Architecture/ARCH-008_Deployment_Architecture_RU_v2_0_Full_Content_Audited_Complete.docx</x:v>
      </x:c>
      <x:c r="M36" s="83" t="n">
        <x:v>0</x:v>
      </x:c>
    </x:row>
    <x:row r="37" ht="21.600000381469727" hidden="0" customHeight="1">
      <x:c r="A37" s="80" t="str">
        <x:v>docs/01_Architecture/ARCH-008_Deployment_Architecture/ARCH-008_Deployment_Architecture_DE_v1_1_Architecture_Audited_Complete.docx</x:v>
      </x:c>
      <x:c r="B37" s="80" t="str">
        <x:v>docx</x:v>
      </x:c>
      <x:c r="C37" s="80" t="str">
        <x:v>ARCH-008</x:v>
      </x:c>
      <x:c r="D37" s="80" t="str">
        <x:v>DE</x:v>
      </x:c>
      <x:c r="E37" s="80" t="str">
        <x:v>Normative source</x:v>
      </x:c>
      <x:c r="F37" s="82" t="n">
        <x:v>1</x:v>
      </x:c>
      <x:c r="G37" s="80" t="str">
        <x:v>ARCH-008_Deployment_Architecture_DE_v2_0_Full_Content_Audited_Complete.docx</x:v>
      </x:c>
      <x:c r="H37" s="80" t="str">
        <x:v>Active source</x:v>
      </x:c>
      <x:c r="I37" s="82" t="n">
        <x:v>72377</x:v>
      </x:c>
      <x:c r="J37" s="80" t="str">
        <x:v>79ac4215285fd9d527edfa87266cee140b8d40786b550e7ec07d6f5cb868cbf0</x:v>
      </x:c>
      <x:c r="K37" s="80" t="str">
        <x:v>Covered</x:v>
      </x:c>
      <x:c r="L37" s="80" t="str">
        <x:v>docs/01_Architecture/ARCH-008_Deployment_Architecture/ARCH-008_Deployment_Architecture_DE_v2_0_Full_Content_Audited_Complete.docx</x:v>
      </x:c>
      <x:c r="M37" s="82" t="n">
        <x:v>0</x:v>
      </x:c>
    </x:row>
    <x:row r="38" ht="21.600000381469727" hidden="0" customHeight="1">
      <x:c r="A38" s="81" t="str">
        <x:v>docs/01_Architecture/ARCH-008_Deployment_Architecture/ARCH-008_Deployment_Architecture_RU_v1_1_Architecture_Audited_Complete.docx</x:v>
      </x:c>
      <x:c r="B38" s="81" t="str">
        <x:v>docx</x:v>
      </x:c>
      <x:c r="C38" s="81" t="str">
        <x:v>ARCH-008</x:v>
      </x:c>
      <x:c r="D38" s="81" t="str">
        <x:v>RU</x:v>
      </x:c>
      <x:c r="E38" s="81" t="str">
        <x:v>Normative source</x:v>
      </x:c>
      <x:c r="F38" s="83" t="n">
        <x:v>1</x:v>
      </x:c>
      <x:c r="G38" s="81" t="str">
        <x:v>ARCH-008_Deployment_Architecture_RU_v2_0_Full_Content_Audited_Complete.docx</x:v>
      </x:c>
      <x:c r="H38" s="81" t="str">
        <x:v>Active source</x:v>
      </x:c>
      <x:c r="I38" s="83" t="n">
        <x:v>76507</x:v>
      </x:c>
      <x:c r="J38" s="81" t="str">
        <x:v>24687dd7274f74ec0c2b6a5884aa58bf314a018d77d82e14b3817e9dc72051d7</x:v>
      </x:c>
      <x:c r="K38" s="81" t="str">
        <x:v>Covered</x:v>
      </x:c>
      <x:c r="L38" s="81" t="str">
        <x:v>docs/01_Architecture/ARCH-008_Deployment_Architecture/ARCH-008_Deployment_Architecture_RU_v2_0_Full_Content_Audited_Complete.docx</x:v>
      </x:c>
      <x:c r="M38" s="83" t="n">
        <x:v>0</x:v>
      </x:c>
    </x:row>
    <x:row r="39" ht="43.20000076293945" hidden="0" customHeight="1">
      <x:c r="A39" s="80" t="str">
        <x:v>docs/01_Architecture/ARCH-009_Configuration_Architecture/ARCH-009_Configuration_Architecture_Audited_Source_v1_1.md</x:v>
      </x:c>
      <x:c r="B39" s="80" t="str">
        <x:v>md</x:v>
      </x:c>
      <x:c r="C39" s="80" t="str">
        <x:v>ARCH-009</x:v>
      </x:c>
      <x:c r="D39" s="80" t="str">
        <x:v>Mixed / technical</x:v>
      </x:c>
      <x:c r="E39" s="80" t="str">
        <x:v>Audited source</x:v>
      </x:c>
      <x:c r="F39" s="82" t="n">
        <x:v>2</x:v>
      </x:c>
      <x:c r="G39" s="80" t="str">
        <x:v>ARCH-009_Configuration_Architecture_DE_v2_0_Full_Content_Audited_Complete.docx
ARCH-009_Configuration_Architecture_RU_v2_0_Full_Content_Audited_Complete.docx</x:v>
      </x:c>
      <x:c r="H39" s="80" t="str">
        <x:v>Active source</x:v>
      </x:c>
      <x:c r="I39" s="82" t="n">
        <x:v>8729</x:v>
      </x:c>
      <x:c r="J39" s="80" t="str">
        <x:v>338ae4130ae29a31c1baf54667c2713a895114c021b8a207af3067d6865cec7d</x:v>
      </x:c>
      <x:c r="K39" s="80" t="str">
        <x:v>Covered</x:v>
      </x:c>
      <x:c r="L39" s="80" t="str">
        <x:v>docs/01_Architecture/ARCH-009_Configuration_Architecture/ARCH-009_Configuration_Architecture_DE_v2_0_Full_Content_Audited_Complete.docx
docs/01_Architecture/ARCH-009_Configuration_Architecture/ARCH-009_Configuration_Architecture_RU_v2_0_Full_Content_Audited_Complete.docx</x:v>
      </x:c>
      <x:c r="M39" s="82" t="n">
        <x:v>0</x:v>
      </x:c>
    </x:row>
    <x:row r="40" ht="21.600000381469727" hidden="0" customHeight="1">
      <x:c r="A40" s="81" t="str">
        <x:v>docs/01_Architecture/ARCH-009_Configuration_Architecture/ARCH-009_Configuration_Architecture_DE_v1_1_Architecture_Audited_Complete.docx</x:v>
      </x:c>
      <x:c r="B40" s="81" t="str">
        <x:v>docx</x:v>
      </x:c>
      <x:c r="C40" s="81" t="str">
        <x:v>ARCH-009</x:v>
      </x:c>
      <x:c r="D40" s="81" t="str">
        <x:v>DE</x:v>
      </x:c>
      <x:c r="E40" s="81" t="str">
        <x:v>Normative source</x:v>
      </x:c>
      <x:c r="F40" s="83" t="n">
        <x:v>1</x:v>
      </x:c>
      <x:c r="G40" s="81" t="str">
        <x:v>ARCH-009_Configuration_Architecture_DE_v2_0_Full_Content_Audited_Complete.docx</x:v>
      </x:c>
      <x:c r="H40" s="81" t="str">
        <x:v>Active source</x:v>
      </x:c>
      <x:c r="I40" s="83" t="n">
        <x:v>70289</x:v>
      </x:c>
      <x:c r="J40" s="81" t="str">
        <x:v>dfa4601840bf91c654c7a5a6d7612fae27a32433d89c62a87fb7089fe0c64987</x:v>
      </x:c>
      <x:c r="K40" s="81" t="str">
        <x:v>Covered</x:v>
      </x:c>
      <x:c r="L40" s="81" t="str">
        <x:v>docs/01_Architecture/ARCH-009_Configuration_Architecture/ARCH-009_Configuration_Architecture_DE_v2_0_Full_Content_Audited_Complete.docx</x:v>
      </x:c>
      <x:c r="M40" s="83" t="n">
        <x:v>0</x:v>
      </x:c>
    </x:row>
    <x:row r="41" ht="21.600000381469727" hidden="0" customHeight="1">
      <x:c r="A41" s="80" t="str">
        <x:v>docs/01_Architecture/ARCH-009_Configuration_Architecture/ARCH-009_Configuration_Architecture_RU_v1_1_Architecture_Audited_Complete.docx</x:v>
      </x:c>
      <x:c r="B41" s="80" t="str">
        <x:v>docx</x:v>
      </x:c>
      <x:c r="C41" s="80" t="str">
        <x:v>ARCH-009</x:v>
      </x:c>
      <x:c r="D41" s="80" t="str">
        <x:v>RU</x:v>
      </x:c>
      <x:c r="E41" s="80" t="str">
        <x:v>Normative source</x:v>
      </x:c>
      <x:c r="F41" s="82" t="n">
        <x:v>1</x:v>
      </x:c>
      <x:c r="G41" s="80" t="str">
        <x:v>ARCH-009_Configuration_Architecture_RU_v2_0_Full_Content_Audited_Complete.docx</x:v>
      </x:c>
      <x:c r="H41" s="80" t="str">
        <x:v>Active source</x:v>
      </x:c>
      <x:c r="I41" s="82" t="n">
        <x:v>74236</x:v>
      </x:c>
      <x:c r="J41" s="80" t="str">
        <x:v>dd20192d88c06c62f84ca4c2f37706475d365246237e020d73c486823e787d0c</x:v>
      </x:c>
      <x:c r="K41" s="80" t="str">
        <x:v>Covered</x:v>
      </x:c>
      <x:c r="L41" s="80" t="str">
        <x:v>docs/01_Architecture/ARCH-009_Configuration_Architecture/ARCH-009_Configuration_Architecture_RU_v2_0_Full_Content_Audited_Complete.docx</x:v>
      </x:c>
      <x:c r="M41" s="82" t="n">
        <x:v>0</x:v>
      </x:c>
    </x:row>
    <x:row r="42" ht="43.20000076293945" hidden="0" customHeight="1">
      <x:c r="A42" s="81" t="str">
        <x:v>docs/01_Architecture/ARCH-010_Plugin_Architecture/ARCH-010_Audit_Rebuild_Map_v1_1.md</x:v>
      </x:c>
      <x:c r="B42" s="81" t="str">
        <x:v>md</x:v>
      </x:c>
      <x:c r="C42" s="81" t="str">
        <x:v>ARCH-010</x:v>
      </x:c>
      <x:c r="D42" s="81" t="str">
        <x:v>Mixed / technical</x:v>
      </x:c>
      <x:c r="E42" s="81" t="str">
        <x:v>Audited source</x:v>
      </x:c>
      <x:c r="F42" s="83" t="n">
        <x:v>2</x:v>
      </x:c>
      <x:c r="G42" s="81" t="str">
        <x:v>ARCH-010_Plugin_Architecture_DE_v2_0_Full_Content_Audited_Complete.docx
ARCH-010_Plugin_Architecture_RU_v2_0_Full_Content_Audited_Complete.docx</x:v>
      </x:c>
      <x:c r="H42" s="81" t="str">
        <x:v>Active source</x:v>
      </x:c>
      <x:c r="I42" s="83" t="n">
        <x:v>8163</x:v>
      </x:c>
      <x:c r="J42" s="81" t="str">
        <x:v>e35db82e44eee42c7f40f7d796c0eb486ec265338458a6b7f92f6742ce8a0fa3</x:v>
      </x:c>
      <x:c r="K42" s="81" t="str">
        <x:v>Covered</x:v>
      </x:c>
      <x:c r="L42" s="81" t="str">
        <x:v>docs/01_Architecture/ARCH-010_Plugin_Architecture/ARCH-010_Plugin_Architecture_DE_v2_0_Full_Content_Audited_Complete.docx
docs/01_Architecture/ARCH-010_Plugin_Architecture/ARCH-010_Plugin_Architecture_RU_v2_0_Full_Content_Audited_Complete.docx</x:v>
      </x:c>
      <x:c r="M42" s="83" t="n">
        <x:v>0</x:v>
      </x:c>
    </x:row>
    <x:row r="43" ht="43.20000076293945" hidden="0" customHeight="1">
      <x:c r="A43" s="80" t="str">
        <x:v>docs/01_Architecture/ARCH-010_Plugin_Architecture/ARCH-010_Part_02_Discovery_Detection_Reconstruction_Source_v1_1.md</x:v>
      </x:c>
      <x:c r="B43" s="80" t="str">
        <x:v>md</x:v>
      </x:c>
      <x:c r="C43" s="80" t="str">
        <x:v>ARCH-010</x:v>
      </x:c>
      <x:c r="D43" s="80" t="str">
        <x:v>Mixed / technical</x:v>
      </x:c>
      <x:c r="E43" s="80" t="str">
        <x:v>Audited source</x:v>
      </x:c>
      <x:c r="F43" s="82" t="n">
        <x:v>2</x:v>
      </x:c>
      <x:c r="G43" s="80" t="str">
        <x:v>ARCH-010_Plugin_Architecture_DE_v2_0_Full_Content_Audited_Complete.docx
ARCH-010_Plugin_Architecture_RU_v2_0_Full_Content_Audited_Complete.docx</x:v>
      </x:c>
      <x:c r="H43" s="80" t="str">
        <x:v>Active source</x:v>
      </x:c>
      <x:c r="I43" s="82" t="n">
        <x:v>12127</x:v>
      </x:c>
      <x:c r="J43" s="80" t="str">
        <x:v>122587cedbdb8c708c48b4f3312ebf8f70185b3718b865622c9ec2747801b650</x:v>
      </x:c>
      <x:c r="K43" s="80" t="str">
        <x:v>Covered</x:v>
      </x:c>
      <x:c r="L43" s="80" t="str">
        <x:v>docs/01_Architecture/ARCH-010_Plugin_Architecture/ARCH-010_Plugin_Architecture_DE_v2_0_Full_Content_Audited_Complete.docx
docs/01_Architecture/ARCH-010_Plugin_Architecture/ARCH-010_Plugin_Architecture_RU_v2_0_Full_Content_Audited_Complete.docx</x:v>
      </x:c>
      <x:c r="M43" s="82" t="n">
        <x:v>0</x:v>
      </x:c>
    </x:row>
    <x:row r="44" ht="21.600000381469727" hidden="0" customHeight="1">
      <x:c r="A44" s="81" t="str">
        <x:v>docs/01_Architecture/ARCH-010_Plugin_Architecture/ARCH-010_Plugin_Architecture_DE_v1_1_Architecture_Audited_Complete.docx</x:v>
      </x:c>
      <x:c r="B44" s="81" t="str">
        <x:v>docx</x:v>
      </x:c>
      <x:c r="C44" s="81" t="str">
        <x:v>ARCH-010</x:v>
      </x:c>
      <x:c r="D44" s="81" t="str">
        <x:v>DE</x:v>
      </x:c>
      <x:c r="E44" s="81" t="str">
        <x:v>Normative source</x:v>
      </x:c>
      <x:c r="F44" s="83" t="n">
        <x:v>1</x:v>
      </x:c>
      <x:c r="G44" s="81" t="str">
        <x:v>ARCH-010_Plugin_Architecture_DE_v2_0_Full_Content_Audited_Complete.docx</x:v>
      </x:c>
      <x:c r="H44" s="81" t="str">
        <x:v>Active source</x:v>
      </x:c>
      <x:c r="I44" s="83" t="n">
        <x:v>76213</x:v>
      </x:c>
      <x:c r="J44" s="81" t="str">
        <x:v>7da8e66cf81c52e2c41bd6199e354c2417e666e5590062efa331ca78500e4a5c</x:v>
      </x:c>
      <x:c r="K44" s="81" t="str">
        <x:v>Covered</x:v>
      </x:c>
      <x:c r="L44" s="81" t="str">
        <x:v>docs/01_Architecture/ARCH-010_Plugin_Architecture/ARCH-010_Plugin_Architecture_DE_v2_0_Full_Content_Audited_Complete.docx</x:v>
      </x:c>
      <x:c r="M44" s="83" t="n">
        <x:v>0</x:v>
      </x:c>
    </x:row>
    <x:row r="45" ht="21.600000381469727" hidden="0" customHeight="1">
      <x:c r="A45" s="80" t="str">
        <x:v>docs/01_Architecture/ARCH-010_Plugin_Architecture/ARCH-010_Plugin_Architecture_RU_v1_1_Architecture_Audited_Complete.docx</x:v>
      </x:c>
      <x:c r="B45" s="80" t="str">
        <x:v>docx</x:v>
      </x:c>
      <x:c r="C45" s="80" t="str">
        <x:v>ARCH-010</x:v>
      </x:c>
      <x:c r="D45" s="80" t="str">
        <x:v>RU</x:v>
      </x:c>
      <x:c r="E45" s="80" t="str">
        <x:v>Normative source</x:v>
      </x:c>
      <x:c r="F45" s="82" t="n">
        <x:v>1</x:v>
      </x:c>
      <x:c r="G45" s="80" t="str">
        <x:v>ARCH-010_Plugin_Architecture_RU_v2_0_Full_Content_Audited_Complete.docx</x:v>
      </x:c>
      <x:c r="H45" s="80" t="str">
        <x:v>Active source</x:v>
      </x:c>
      <x:c r="I45" s="82" t="n">
        <x:v>79821</x:v>
      </x:c>
      <x:c r="J45" s="80" t="str">
        <x:v>5cca43b6de4a0da6005ac4c475f0c45635b2fb3beddc25c56f0f494a7d1a257e</x:v>
      </x:c>
      <x:c r="K45" s="80" t="str">
        <x:v>Covered</x:v>
      </x:c>
      <x:c r="L45" s="80" t="str">
        <x:v>docs/01_Architecture/ARCH-010_Plugin_Architecture/ARCH-010_Plugin_Architecture_RU_v2_0_Full_Content_Audited_Complete.docx</x:v>
      </x:c>
      <x:c r="M45" s="82" t="n">
        <x:v>0</x:v>
      </x:c>
    </x:row>
    <x:row r="46" ht="43.20000076293945" hidden="0" customHeight="1">
      <x:c r="A46" s="81" t="str">
        <x:v>docs/01_Architecture/ARCH-011_Save_System_Architecture/ARCH-011_Save_System_Architecture_Audited_Source_v1_1.md</x:v>
      </x:c>
      <x:c r="B46" s="81" t="str">
        <x:v>md</x:v>
      </x:c>
      <x:c r="C46" s="81" t="str">
        <x:v>ARCH-011</x:v>
      </x:c>
      <x:c r="D46" s="81" t="str">
        <x:v>Mixed / technical</x:v>
      </x:c>
      <x:c r="E46" s="81" t="str">
        <x:v>Audited source</x:v>
      </x:c>
      <x:c r="F46" s="83" t="n">
        <x:v>2</x:v>
      </x:c>
      <x:c r="G46" s="81" t="str">
        <x:v>ARCH-011_Save_System_Architecture_DE_v2_0_Full_Content_Audited_Complete.docx
ARCH-011_Save_System_Architecture_RU_v2_0_Full_Content_Audited_Complete.docx</x:v>
      </x:c>
      <x:c r="H46" s="81" t="str">
        <x:v>Active source</x:v>
      </x:c>
      <x:c r="I46" s="83" t="n">
        <x:v>10995</x:v>
      </x:c>
      <x:c r="J46" s="81" t="str">
        <x:v>5c957810d0972d8ea5cceb142b43587558fcc3fbda6cb4d7dcad2a49f4e5f8c8</x:v>
      </x:c>
      <x:c r="K46" s="81" t="str">
        <x:v>Covered</x:v>
      </x:c>
      <x:c r="L46" s="81" t="str">
        <x:v>docs/01_Architecture/ARCH-011_Save_System_Architecture/ARCH-011_Save_System_Architecture_DE_v2_0_Full_Content_Audited_Complete.docx
docs/01_Architecture/ARCH-011_Save_System_Architecture/ARCH-011_Save_System_Architecture_RU_v2_0_Full_Content_Audited_Complete.docx</x:v>
      </x:c>
      <x:c r="M46" s="83" t="n">
        <x:v>0</x:v>
      </x:c>
    </x:row>
    <x:row r="47" ht="21.600000381469727" hidden="0" customHeight="1">
      <x:c r="A47" s="80" t="str">
        <x:v>docs/01_Architecture/ARCH-011_Save_System_Architecture/ARCH-011_Save_System_Architecture_DE_v1_1_Architecture_Audited_Complete.docx</x:v>
      </x:c>
      <x:c r="B47" s="80" t="str">
        <x:v>docx</x:v>
      </x:c>
      <x:c r="C47" s="80" t="str">
        <x:v>ARCH-011</x:v>
      </x:c>
      <x:c r="D47" s="80" t="str">
        <x:v>DE</x:v>
      </x:c>
      <x:c r="E47" s="80" t="str">
        <x:v>Normative source</x:v>
      </x:c>
      <x:c r="F47" s="82" t="n">
        <x:v>1</x:v>
      </x:c>
      <x:c r="G47" s="80" t="str">
        <x:v>ARCH-011_Save_System_Architecture_DE_v2_0_Full_Content_Audited_Complete.docx</x:v>
      </x:c>
      <x:c r="H47" s="80" t="str">
        <x:v>Active source</x:v>
      </x:c>
      <x:c r="I47" s="82" t="n">
        <x:v>40919</x:v>
      </x:c>
      <x:c r="J47" s="80" t="str">
        <x:v>dfd5a1a55b80e447bca5ad07422d5f5558a9b01e7ddf18cae9f2ebdb37d0d930</x:v>
      </x:c>
      <x:c r="K47" s="80" t="str">
        <x:v>Covered</x:v>
      </x:c>
      <x:c r="L47" s="80" t="str">
        <x:v>docs/01_Architecture/ARCH-011_Save_System_Architecture/ARCH-011_Save_System_Architecture_DE_v2_0_Full_Content_Audited_Complete.docx</x:v>
      </x:c>
      <x:c r="M47" s="82" t="n">
        <x:v>0</x:v>
      </x:c>
    </x:row>
    <x:row r="48" ht="21.600000381469727" hidden="0" customHeight="1">
      <x:c r="A48" s="81" t="str">
        <x:v>docs/01_Architecture/ARCH-011_Save_System_Architecture/ARCH-011_Save_System_Architecture_RU_v1_1_Architecture_Audited_Complete.docx</x:v>
      </x:c>
      <x:c r="B48" s="81" t="str">
        <x:v>docx</x:v>
      </x:c>
      <x:c r="C48" s="81" t="str">
        <x:v>ARCH-011</x:v>
      </x:c>
      <x:c r="D48" s="81" t="str">
        <x:v>RU</x:v>
      </x:c>
      <x:c r="E48" s="81" t="str">
        <x:v>Normative source</x:v>
      </x:c>
      <x:c r="F48" s="83" t="n">
        <x:v>1</x:v>
      </x:c>
      <x:c r="G48" s="81" t="str">
        <x:v>ARCH-011_Save_System_Architecture_RU_v2_0_Full_Content_Audited_Complete.docx</x:v>
      </x:c>
      <x:c r="H48" s="81" t="str">
        <x:v>Active source</x:v>
      </x:c>
      <x:c r="I48" s="83" t="n">
        <x:v>41315</x:v>
      </x:c>
      <x:c r="J48" s="81" t="str">
        <x:v>a40cffbc5df484aa72790bacd6b63fade3aeb48e8064fe64f13001c4b8a286ab</x:v>
      </x:c>
      <x:c r="K48" s="81" t="str">
        <x:v>Covered</x:v>
      </x:c>
      <x:c r="L48" s="81" t="str">
        <x:v>docs/01_Architecture/ARCH-011_Save_System_Architecture/ARCH-011_Save_System_Architecture_RU_v2_0_Full_Content_Audited_Complete.docx</x:v>
      </x:c>
      <x:c r="M48" s="83" t="n">
        <x:v>0</x:v>
      </x:c>
    </x:row>
    <x:row r="49" ht="43.20000076293945" hidden="0" customHeight="1">
      <x:c r="A49" s="80" t="str">
        <x:v>docs/01_Architecture/ARCH-012_AI_Integration_Architecture/ARCH-012_AI_Integration_Architecture_Audited_Source_v1_1.md</x:v>
      </x:c>
      <x:c r="B49" s="80" t="str">
        <x:v>md</x:v>
      </x:c>
      <x:c r="C49" s="80" t="str">
        <x:v>ARCH-012</x:v>
      </x:c>
      <x:c r="D49" s="80" t="str">
        <x:v>Mixed / technical</x:v>
      </x:c>
      <x:c r="E49" s="80" t="str">
        <x:v>Audited source</x:v>
      </x:c>
      <x:c r="F49" s="82" t="n">
        <x:v>2</x:v>
      </x:c>
      <x:c r="G49" s="80" t="str">
        <x:v>ARCH-012_AI_Integration_Architecture_DE_v2_0_Full_Content_Audited_Complete.docx
ARCH-012_AI_Integration_Architecture_RU_v2_0_Full_Content_Audited_Complete.docx</x:v>
      </x:c>
      <x:c r="H49" s="80" t="str">
        <x:v>Active source</x:v>
      </x:c>
      <x:c r="I49" s="82" t="n">
        <x:v>11834</x:v>
      </x:c>
      <x:c r="J49" s="80" t="str">
        <x:v>ef3da780c49ac5fad8d6cfd319703a6112f80ac0e20a2ea6d240ebbcfd98df00</x:v>
      </x:c>
      <x:c r="K49" s="80" t="str">
        <x:v>Covered</x:v>
      </x:c>
      <x:c r="L49" s="80" t="str">
        <x:v>docs/01_Architecture/ARCH-012_AI_Integration_Architecture/ARCH-012_AI_Integration_Architecture_DE_v2_0_Full_Content_Audited_Complete.docx
docs/01_Architecture/ARCH-012_AI_Integration_Architecture/ARCH-012_AI_Integration_Architecture_RU_v2_0_Full_Content_Audited_Complete.docx</x:v>
      </x:c>
      <x:c r="M49" s="82" t="n">
        <x:v>0</x:v>
      </x:c>
    </x:row>
    <x:row r="50" ht="21.600000381469727" hidden="0" customHeight="1">
      <x:c r="A50" s="81" t="str">
        <x:v>docs/01_Architecture/ARCH-012_AI_Integration_Architecture/ARCH-012_AI_Integration_Architecture_DE_v1_1_Architecture_Audited_Complete.docx</x:v>
      </x:c>
      <x:c r="B50" s="81" t="str">
        <x:v>docx</x:v>
      </x:c>
      <x:c r="C50" s="81" t="str">
        <x:v>ARCH-012</x:v>
      </x:c>
      <x:c r="D50" s="81" t="str">
        <x:v>DE</x:v>
      </x:c>
      <x:c r="E50" s="81" t="str">
        <x:v>Normative source</x:v>
      </x:c>
      <x:c r="F50" s="83" t="n">
        <x:v>1</x:v>
      </x:c>
      <x:c r="G50" s="81" t="str">
        <x:v>ARCH-012_AI_Integration_Architecture_DE_v2_0_Full_Content_Audited_Complete.docx</x:v>
      </x:c>
      <x:c r="H50" s="81" t="str">
        <x:v>Active source</x:v>
      </x:c>
      <x:c r="I50" s="83" t="n">
        <x:v>41280</x:v>
      </x:c>
      <x:c r="J50" s="81" t="str">
        <x:v>d472bd9a876fccc58ab06011983bf85e567ef8a6b641830fa24205e53e6c43f6</x:v>
      </x:c>
      <x:c r="K50" s="81" t="str">
        <x:v>Covered</x:v>
      </x:c>
      <x:c r="L50" s="81" t="str">
        <x:v>docs/01_Architecture/ARCH-012_AI_Integration_Architecture/ARCH-012_AI_Integration_Architecture_DE_v2_0_Full_Content_Audited_Complete.docx</x:v>
      </x:c>
      <x:c r="M50" s="83" t="n">
        <x:v>0</x:v>
      </x:c>
    </x:row>
    <x:row r="51" ht="21.600000381469727" hidden="0" customHeight="1">
      <x:c r="A51" s="80" t="str">
        <x:v>docs/01_Architecture/ARCH-012_AI_Integration_Architecture/ARCH-012_AI_Integration_Architecture_RU_v1_1_Architecture_Audited_Complete.docx</x:v>
      </x:c>
      <x:c r="B51" s="80" t="str">
        <x:v>docx</x:v>
      </x:c>
      <x:c r="C51" s="80" t="str">
        <x:v>ARCH-012</x:v>
      </x:c>
      <x:c r="D51" s="80" t="str">
        <x:v>RU</x:v>
      </x:c>
      <x:c r="E51" s="80" t="str">
        <x:v>Normative source</x:v>
      </x:c>
      <x:c r="F51" s="82" t="n">
        <x:v>1</x:v>
      </x:c>
      <x:c r="G51" s="80" t="str">
        <x:v>ARCH-012_AI_Integration_Architecture_RU_v2_0_Full_Content_Audited_Complete.docx</x:v>
      </x:c>
      <x:c r="H51" s="80" t="str">
        <x:v>Active source</x:v>
      </x:c>
      <x:c r="I51" s="82" t="n">
        <x:v>41597</x:v>
      </x:c>
      <x:c r="J51" s="80" t="str">
        <x:v>3b8f1dae1ba6a6b6c29c95e1667e0930e1fc3a0f59021e8440773110b7c39a43</x:v>
      </x:c>
      <x:c r="K51" s="80" t="str">
        <x:v>Covered</x:v>
      </x:c>
      <x:c r="L51" s="80" t="str">
        <x:v>docs/01_Architecture/ARCH-012_AI_Integration_Architecture/ARCH-012_AI_Integration_Architecture_RU_v2_0_Full_Content_Audited_Complete.docx</x:v>
      </x:c>
      <x:c r="M51" s="82" t="n">
        <x:v>0</x:v>
      </x:c>
    </x:row>
    <x:row r="52" ht="15" hidden="0" customHeight="1">
      <x:c r="A52" s="81" t="str">
        <x:v>docs/01_Architecture/AUDIT-001_Architecture_Consistency_Audit.md</x:v>
      </x:c>
      <x:c r="B52" s="81" t="str">
        <x:v>md</x:v>
      </x:c>
      <x:c r="C52" s="81" t="str">
        <x:v>AUDIT-000</x:v>
      </x:c>
      <x:c r="D52" s="81" t="str">
        <x:v>Mixed / technical</x:v>
      </x:c>
      <x:c r="E52" s="81" t="str">
        <x:v>Audit evidence</x:v>
      </x:c>
      <x:c r="F52" s="83" t="n">
        <x:v>1</x:v>
      </x:c>
      <x:c r="G52" s="81" t="str">
        <x:v>AUDIT-000_World_Engine_Architecture_Audit_Record_v1_0_Complete.docx</x:v>
      </x:c>
      <x:c r="H52" s="81" t="str">
        <x:v>Active source</x:v>
      </x:c>
      <x:c r="I52" s="83" t="n">
        <x:v>15359</x:v>
      </x:c>
      <x:c r="J52" s="81" t="str">
        <x:v>5179ac2317dd56c97d1c0c8a72d660da1c227c05e13e69c509ab5a4bc9b3cc48</x:v>
      </x:c>
      <x:c r="K52" s="81" t="str">
        <x:v>Covered</x:v>
      </x:c>
      <x:c r="L52" s="81" t="str">
        <x:v>docs/01_Architecture/AUDIT-000_World_Engine_Architecture_Audit_Record_v1_0_Complete.docx</x:v>
      </x:c>
      <x:c r="M52" s="83" t="n">
        <x:v>0</x:v>
      </x:c>
    </x:row>
    <x:row r="53" ht="15" hidden="0" customHeight="1">
      <x:c r="A53" s="80" t="str">
        <x:v>docs/01_Architecture/AUDIT-002_Dependency_Semantics_Resolution.md</x:v>
      </x:c>
      <x:c r="B53" s="80" t="str">
        <x:v>md</x:v>
      </x:c>
      <x:c r="C53" s="80" t="str">
        <x:v>AUDIT-000</x:v>
      </x:c>
      <x:c r="D53" s="80" t="str">
        <x:v>Mixed / technical</x:v>
      </x:c>
      <x:c r="E53" s="80" t="str">
        <x:v>Audit evidence</x:v>
      </x:c>
      <x:c r="F53" s="82" t="n">
        <x:v>1</x:v>
      </x:c>
      <x:c r="G53" s="80" t="str">
        <x:v>AUDIT-000_World_Engine_Architecture_Audit_Record_v1_0_Complete.docx</x:v>
      </x:c>
      <x:c r="H53" s="80" t="str">
        <x:v>Active source</x:v>
      </x:c>
      <x:c r="I53" s="82" t="n">
        <x:v>11816</x:v>
      </x:c>
      <x:c r="J53" s="80" t="str">
        <x:v>26b47c507708b35392847d66d453b05e3e5dd8046a4a324cf25f4c12a16dffb1</x:v>
      </x:c>
      <x:c r="K53" s="80" t="str">
        <x:v>Covered</x:v>
      </x:c>
      <x:c r="L53" s="80" t="str">
        <x:v>docs/01_Architecture/AUDIT-000_World_Engine_Architecture_Audit_Record_v1_0_Complete.docx</x:v>
      </x:c>
      <x:c r="M53" s="82" t="n">
        <x:v>0</x:v>
      </x:c>
    </x:row>
    <x:row r="54" ht="15" hidden="0" customHeight="1">
      <x:c r="A54" s="81" t="str">
        <x:v>docs/01_Architecture/AUDIT-003_ARCH-001-003_Deep_Review.md</x:v>
      </x:c>
      <x:c r="B54" s="81" t="str">
        <x:v>md</x:v>
      </x:c>
      <x:c r="C54" s="81" t="str">
        <x:v>AUDIT-000</x:v>
      </x:c>
      <x:c r="D54" s="81" t="str">
        <x:v>Mixed / technical</x:v>
      </x:c>
      <x:c r="E54" s="81" t="str">
        <x:v>Audit evidence</x:v>
      </x:c>
      <x:c r="F54" s="83" t="n">
        <x:v>1</x:v>
      </x:c>
      <x:c r="G54" s="81" t="str">
        <x:v>AUDIT-000_World_Engine_Architecture_Audit_Record_v1_0_Complete.docx</x:v>
      </x:c>
      <x:c r="H54" s="81" t="str">
        <x:v>Active source</x:v>
      </x:c>
      <x:c r="I54" s="83" t="n">
        <x:v>15577</x:v>
      </x:c>
      <x:c r="J54" s="81" t="str">
        <x:v>6474ec48b1607fb8c287599a7869270c5a61a38ad52d02591f393d4a6be25e82</x:v>
      </x:c>
      <x:c r="K54" s="81" t="str">
        <x:v>Covered</x:v>
      </x:c>
      <x:c r="L54" s="81" t="str">
        <x:v>docs/01_Architecture/AUDIT-000_World_Engine_Architecture_Audit_Record_v1_0_Complete.docx</x:v>
      </x:c>
      <x:c r="M54" s="83" t="n">
        <x:v>0</x:v>
      </x:c>
    </x:row>
    <x:row r="55" ht="15" hidden="0" customHeight="1">
      <x:c r="A55" s="80" t="str">
        <x:v>docs/01_Architecture/AUDIT-004_Correction_Artifacts_Manifest.md</x:v>
      </x:c>
      <x:c r="B55" s="80" t="str">
        <x:v>md</x:v>
      </x:c>
      <x:c r="C55" s="80" t="str">
        <x:v>AUDIT-000</x:v>
      </x:c>
      <x:c r="D55" s="80" t="str">
        <x:v>Mixed / technical</x:v>
      </x:c>
      <x:c r="E55" s="80" t="str">
        <x:v>Audit evidence</x:v>
      </x:c>
      <x:c r="F55" s="82" t="n">
        <x:v>1</x:v>
      </x:c>
      <x:c r="G55" s="80" t="str">
        <x:v>AUDIT-000_World_Engine_Architecture_Audit_Record_v1_0_Complete.docx</x:v>
      </x:c>
      <x:c r="H55" s="80" t="str">
        <x:v>Active source</x:v>
      </x:c>
      <x:c r="I55" s="82" t="n">
        <x:v>5348</x:v>
      </x:c>
      <x:c r="J55" s="80" t="str">
        <x:v>54b5abfdbeba4ed51502b77cf96043b012ad17ccde5ee5bdf07944e44b0cec74</x:v>
      </x:c>
      <x:c r="K55" s="80" t="str">
        <x:v>Covered</x:v>
      </x:c>
      <x:c r="L55" s="80" t="str">
        <x:v>docs/01_Architecture/AUDIT-000_World_Engine_Architecture_Audit_Record_v1_0_Complete.docx</x:v>
      </x:c>
      <x:c r="M55" s="82" t="n">
        <x:v>0</x:v>
      </x:c>
    </x:row>
    <x:row r="56" ht="15" hidden="0" customHeight="1">
      <x:c r="A56" s="81" t="str">
        <x:v>docs/01_Architecture/AUDIT-005_ARCH-006-009_Deep_Review.md</x:v>
      </x:c>
      <x:c r="B56" s="81" t="str">
        <x:v>md</x:v>
      </x:c>
      <x:c r="C56" s="81" t="str">
        <x:v>AUDIT-000</x:v>
      </x:c>
      <x:c r="D56" s="81" t="str">
        <x:v>Mixed / technical</x:v>
      </x:c>
      <x:c r="E56" s="81" t="str">
        <x:v>Audit evidence</x:v>
      </x:c>
      <x:c r="F56" s="83" t="n">
        <x:v>1</x:v>
      </x:c>
      <x:c r="G56" s="81" t="str">
        <x:v>AUDIT-000_World_Engine_Architecture_Audit_Record_v1_0_Complete.docx</x:v>
      </x:c>
      <x:c r="H56" s="81" t="str">
        <x:v>Active source</x:v>
      </x:c>
      <x:c r="I56" s="83" t="n">
        <x:v>15121</x:v>
      </x:c>
      <x:c r="J56" s="81" t="str">
        <x:v>f7a599075d5cb37e8b6e30f23c81640f8b84d32b8c0ed4d62ec47d66f7f6a5c0</x:v>
      </x:c>
      <x:c r="K56" s="81" t="str">
        <x:v>Covered</x:v>
      </x:c>
      <x:c r="L56" s="81" t="str">
        <x:v>docs/01_Architecture/AUDIT-000_World_Engine_Architecture_Audit_Record_v1_0_Complete.docx</x:v>
      </x:c>
      <x:c r="M56" s="83" t="n">
        <x:v>0</x:v>
      </x:c>
    </x:row>
    <x:row r="57" ht="15" hidden="0" customHeight="1">
      <x:c r="A57" s="80" t="str">
        <x:v>docs/01_Architecture/AUDIT-006_ARCH-010-012_Deep_Review.md</x:v>
      </x:c>
      <x:c r="B57" s="80" t="str">
        <x:v>md</x:v>
      </x:c>
      <x:c r="C57" s="80" t="str">
        <x:v>AUDIT-000</x:v>
      </x:c>
      <x:c r="D57" s="80" t="str">
        <x:v>Mixed / technical</x:v>
      </x:c>
      <x:c r="E57" s="80" t="str">
        <x:v>Audit evidence</x:v>
      </x:c>
      <x:c r="F57" s="82" t="n">
        <x:v>1</x:v>
      </x:c>
      <x:c r="G57" s="80" t="str">
        <x:v>AUDIT-000_World_Engine_Architecture_Audit_Record_v1_0_Complete.docx</x:v>
      </x:c>
      <x:c r="H57" s="80" t="str">
        <x:v>Active source</x:v>
      </x:c>
      <x:c r="I57" s="82" t="n">
        <x:v>14922</x:v>
      </x:c>
      <x:c r="J57" s="80" t="str">
        <x:v>f703a05cc94db5f1c13e651430f738d8d694f6c551fb8bbe02a1f0207e0a1d95</x:v>
      </x:c>
      <x:c r="K57" s="80" t="str">
        <x:v>Covered</x:v>
      </x:c>
      <x:c r="L57" s="80" t="str">
        <x:v>docs/01_Architecture/AUDIT-000_World_Engine_Architecture_Audit_Record_v1_0_Complete.docx</x:v>
      </x:c>
      <x:c r="M57" s="82" t="n">
        <x:v>0</x:v>
      </x:c>
    </x:row>
    <x:row r="58" ht="15" hidden="0" customHeight="1">
      <x:c r="A58" s="81" t="str">
        <x:v>docs/01_Architecture/AUDIT-007_ADR-001-007_Deep_Review.md</x:v>
      </x:c>
      <x:c r="B58" s="81" t="str">
        <x:v>md</x:v>
      </x:c>
      <x:c r="C58" s="81" t="str">
        <x:v>AUDIT-000</x:v>
      </x:c>
      <x:c r="D58" s="81" t="str">
        <x:v>Mixed / technical</x:v>
      </x:c>
      <x:c r="E58" s="81" t="str">
        <x:v>Audit evidence</x:v>
      </x:c>
      <x:c r="F58" s="83" t="n">
        <x:v>1</x:v>
      </x:c>
      <x:c r="G58" s="81" t="str">
        <x:v>AUDIT-000_World_Engine_Architecture_Audit_Record_v1_0_Complete.docx</x:v>
      </x:c>
      <x:c r="H58" s="81" t="str">
        <x:v>Active source</x:v>
      </x:c>
      <x:c r="I58" s="83" t="n">
        <x:v>16421</x:v>
      </x:c>
      <x:c r="J58" s="81" t="str">
        <x:v>9fb3404cb3a18171c6652c8184dba3ec3eeb0c86cd813798b9a2828eb0a91b4d</x:v>
      </x:c>
      <x:c r="K58" s="81" t="str">
        <x:v>Covered</x:v>
      </x:c>
      <x:c r="L58" s="81" t="str">
        <x:v>docs/01_Architecture/AUDIT-000_World_Engine_Architecture_Audit_Record_v1_0_Complete.docx</x:v>
      </x:c>
      <x:c r="M58" s="83" t="n">
        <x:v>0</x:v>
      </x:c>
    </x:row>
    <x:row r="59" ht="15" hidden="0" customHeight="1">
      <x:c r="A59" s="80" t="str">
        <x:v>docs/01_Architecture/AUDIT-008_Resolved_Architecture_Baseline.md</x:v>
      </x:c>
      <x:c r="B59" s="80" t="str">
        <x:v>md</x:v>
      </x:c>
      <x:c r="C59" s="80" t="str">
        <x:v>AUDIT-000</x:v>
      </x:c>
      <x:c r="D59" s="80" t="str">
        <x:v>Mixed / technical</x:v>
      </x:c>
      <x:c r="E59" s="80" t="str">
        <x:v>Audit evidence</x:v>
      </x:c>
      <x:c r="F59" s="82" t="n">
        <x:v>1</x:v>
      </x:c>
      <x:c r="G59" s="80" t="str">
        <x:v>AUDIT-000_World_Engine_Architecture_Audit_Record_v1_0_Complete.docx</x:v>
      </x:c>
      <x:c r="H59" s="80" t="str">
        <x:v>Active source</x:v>
      </x:c>
      <x:c r="I59" s="82" t="n">
        <x:v>11313</x:v>
      </x:c>
      <x:c r="J59" s="80" t="str">
        <x:v>7b74a9791c807c731e7a0ef482e7a5929c10cb4c5d97723ed55896f2c20e4e14</x:v>
      </x:c>
      <x:c r="K59" s="80" t="str">
        <x:v>Covered</x:v>
      </x:c>
      <x:c r="L59" s="80" t="str">
        <x:v>docs/01_Architecture/AUDIT-000_World_Engine_Architecture_Audit_Record_v1_0_Complete.docx</x:v>
      </x:c>
      <x:c r="M59" s="82" t="n">
        <x:v>0</x:v>
      </x:c>
    </x:row>
    <x:row r="60" ht="15" hidden="0" customHeight="1">
      <x:c r="A60" s="81" t="str">
        <x:v>docs/01_Architecture/AUDIT-009_Static_Dependency_Graph_Validation.md</x:v>
      </x:c>
      <x:c r="B60" s="81" t="str">
        <x:v>md</x:v>
      </x:c>
      <x:c r="C60" s="81" t="str">
        <x:v>AUDIT-000</x:v>
      </x:c>
      <x:c r="D60" s="81" t="str">
        <x:v>Mixed / technical</x:v>
      </x:c>
      <x:c r="E60" s="81" t="str">
        <x:v>Audit evidence</x:v>
      </x:c>
      <x:c r="F60" s="83" t="n">
        <x:v>1</x:v>
      </x:c>
      <x:c r="G60" s="81" t="str">
        <x:v>AUDIT-000_World_Engine_Architecture_Audit_Record_v1_0_Complete.docx</x:v>
      </x:c>
      <x:c r="H60" s="81" t="str">
        <x:v>Active source</x:v>
      </x:c>
      <x:c r="I60" s="83" t="n">
        <x:v>5722</x:v>
      </x:c>
      <x:c r="J60" s="81" t="str">
        <x:v>141c7aed5ff95998a44fee2c6257d7daa5df68851f913b8787f94ba784246db4</x:v>
      </x:c>
      <x:c r="K60" s="81" t="str">
        <x:v>Covered</x:v>
      </x:c>
      <x:c r="L60" s="81" t="str">
        <x:v>docs/01_Architecture/AUDIT-000_World_Engine_Architecture_Audit_Record_v1_0_Complete.docx</x:v>
      </x:c>
      <x:c r="M60" s="83" t="n">
        <x:v>0</x:v>
      </x:c>
    </x:row>
    <x:row r="61" ht="15" hidden="0" customHeight="1">
      <x:c r="A61" s="80" t="str">
        <x:v>docs/01_Architecture/AUDIT-010_ADR_Correction_Package.md</x:v>
      </x:c>
      <x:c r="B61" s="80" t="str">
        <x:v>md</x:v>
      </x:c>
      <x:c r="C61" s="80" t="str">
        <x:v>AUDIT-000</x:v>
      </x:c>
      <x:c r="D61" s="80" t="str">
        <x:v>Mixed / technical</x:v>
      </x:c>
      <x:c r="E61" s="80" t="str">
        <x:v>Audit evidence</x:v>
      </x:c>
      <x:c r="F61" s="82" t="n">
        <x:v>1</x:v>
      </x:c>
      <x:c r="G61" s="80" t="str">
        <x:v>AUDIT-000_World_Engine_Architecture_Audit_Record_v1_0_Complete.docx</x:v>
      </x:c>
      <x:c r="H61" s="80" t="str">
        <x:v>Active source</x:v>
      </x:c>
      <x:c r="I61" s="82" t="n">
        <x:v>7831</x:v>
      </x:c>
      <x:c r="J61" s="80" t="str">
        <x:v>cf238b9088ace7c6bd6f271e3dc9ff3900a713e3bbebffc64dfa6c9d6aefea14</x:v>
      </x:c>
      <x:c r="K61" s="80" t="str">
        <x:v>Covered</x:v>
      </x:c>
      <x:c r="L61" s="80" t="str">
        <x:v>docs/01_Architecture/AUDIT-000_World_Engine_Architecture_Audit_Record_v1_0_Complete.docx</x:v>
      </x:c>
      <x:c r="M61" s="82" t="n">
        <x:v>0</x:v>
      </x:c>
    </x:row>
    <x:row r="62" ht="15" hidden="0" customHeight="1">
      <x:c r="A62" s="81" t="str">
        <x:v>docs/01_Architecture/AUDIT-010_ARCH-006-009_Correction_Validation.md</x:v>
      </x:c>
      <x:c r="B62" s="81" t="str">
        <x:v>md</x:v>
      </x:c>
      <x:c r="C62" s="81" t="str">
        <x:v>AUDIT-000</x:v>
      </x:c>
      <x:c r="D62" s="81" t="str">
        <x:v>Mixed / technical</x:v>
      </x:c>
      <x:c r="E62" s="81" t="str">
        <x:v>Audit evidence</x:v>
      </x:c>
      <x:c r="F62" s="83" t="n">
        <x:v>1</x:v>
      </x:c>
      <x:c r="G62" s="81" t="str">
        <x:v>AUDIT-000_World_Engine_Architecture_Audit_Record_v1_0_Complete.docx</x:v>
      </x:c>
      <x:c r="H62" s="81" t="str">
        <x:v>Active source</x:v>
      </x:c>
      <x:c r="I62" s="83" t="n">
        <x:v>7825</x:v>
      </x:c>
      <x:c r="J62" s="81" t="str">
        <x:v>b08d684966f57bbbeb0694f5c2e9b11c88a69d94fc840b67eb92f081b55fd487</x:v>
      </x:c>
      <x:c r="K62" s="81" t="str">
        <x:v>Covered</x:v>
      </x:c>
      <x:c r="L62" s="81" t="str">
        <x:v>docs/01_Architecture/AUDIT-000_World_Engine_Architecture_Audit_Record_v1_0_Complete.docx</x:v>
      </x:c>
      <x:c r="M62" s="83" t="n">
        <x:v>0</x:v>
      </x:c>
    </x:row>
    <x:row r="63" ht="15" hidden="0" customHeight="1">
      <x:c r="A63" s="80" t="str">
        <x:v>docs/01_Architecture/AUDIT-010_ARCH-007-012_Cross_Document_Validation.md</x:v>
      </x:c>
      <x:c r="B63" s="80" t="str">
        <x:v>md</x:v>
      </x:c>
      <x:c r="C63" s="80" t="str">
        <x:v>AUDIT-000</x:v>
      </x:c>
      <x:c r="D63" s="80" t="str">
        <x:v>Mixed / technical</x:v>
      </x:c>
      <x:c r="E63" s="80" t="str">
        <x:v>Audit evidence</x:v>
      </x:c>
      <x:c r="F63" s="82" t="n">
        <x:v>1</x:v>
      </x:c>
      <x:c r="G63" s="80" t="str">
        <x:v>AUDIT-000_World_Engine_Architecture_Audit_Record_v1_0_Complete.docx</x:v>
      </x:c>
      <x:c r="H63" s="80" t="str">
        <x:v>Active source</x:v>
      </x:c>
      <x:c r="I63" s="82" t="n">
        <x:v>11860</x:v>
      </x:c>
      <x:c r="J63" s="80" t="str">
        <x:v>db23194f890fb8e5d38f4edbf8af216e6f49adc3ed1828e012e04591de68078a</x:v>
      </x:c>
      <x:c r="K63" s="80" t="str">
        <x:v>Covered</x:v>
      </x:c>
      <x:c r="L63" s="80" t="str">
        <x:v>docs/01_Architecture/AUDIT-000_World_Engine_Architecture_Audit_Record_v1_0_Complete.docx</x:v>
      </x:c>
      <x:c r="M63" s="82" t="n">
        <x:v>0</x:v>
      </x:c>
    </x:row>
    <x:row r="64" ht="15" hidden="0" customHeight="1">
      <x:c r="A64" s="81" t="str">
        <x:v>docs/01_Architecture/AUDIT-010_Contract_Ownership_Freeze_and_Candidate_QA.md</x:v>
      </x:c>
      <x:c r="B64" s="81" t="str">
        <x:v>md</x:v>
      </x:c>
      <x:c r="C64" s="81" t="str">
        <x:v>AUDIT-000</x:v>
      </x:c>
      <x:c r="D64" s="81" t="str">
        <x:v>Mixed / technical</x:v>
      </x:c>
      <x:c r="E64" s="81" t="str">
        <x:v>Audit evidence</x:v>
      </x:c>
      <x:c r="F64" s="83" t="n">
        <x:v>1</x:v>
      </x:c>
      <x:c r="G64" s="81" t="str">
        <x:v>AUDIT-000_World_Engine_Architecture_Audit_Record_v1_0_Complete.docx</x:v>
      </x:c>
      <x:c r="H64" s="81" t="str">
        <x:v>Active source</x:v>
      </x:c>
      <x:c r="I64" s="83" t="n">
        <x:v>6321</x:v>
      </x:c>
      <x:c r="J64" s="81" t="str">
        <x:v>6b625de6fc08ea734736686bb95a0da40167e7880260a0ec7a0d35167e17279a</x:v>
      </x:c>
      <x:c r="K64" s="81" t="str">
        <x:v>Covered</x:v>
      </x:c>
      <x:c r="L64" s="81" t="str">
        <x:v>docs/01_Architecture/AUDIT-000_World_Engine_Architecture_Audit_Record_v1_0_Complete.docx</x:v>
      </x:c>
      <x:c r="M64" s="83" t="n">
        <x:v>0</x:v>
      </x:c>
    </x:row>
    <x:row r="65" ht="15" hidden="0" customHeight="1">
      <x:c r="A65" s="80" t="str">
        <x:v>docs/01_Architecture/AUDIT-011_ARCH-001-005_Regeneration_and_QA.md</x:v>
      </x:c>
      <x:c r="B65" s="80" t="str">
        <x:v>md</x:v>
      </x:c>
      <x:c r="C65" s="80" t="str">
        <x:v>AUDIT-000</x:v>
      </x:c>
      <x:c r="D65" s="80" t="str">
        <x:v>Mixed / technical</x:v>
      </x:c>
      <x:c r="E65" s="80" t="str">
        <x:v>Audit evidence</x:v>
      </x:c>
      <x:c r="F65" s="82" t="n">
        <x:v>1</x:v>
      </x:c>
      <x:c r="G65" s="80" t="str">
        <x:v>AUDIT-000_World_Engine_Architecture_Audit_Record_v1_0_Complete.docx</x:v>
      </x:c>
      <x:c r="H65" s="80" t="str">
        <x:v>Active source</x:v>
      </x:c>
      <x:c r="I65" s="82" t="n">
        <x:v>6600</x:v>
      </x:c>
      <x:c r="J65" s="80" t="str">
        <x:v>be712973b64ff909f049e2711778bb7e4761e8b59e20e3ed4d9adaf233195b20</x:v>
      </x:c>
      <x:c r="K65" s="80" t="str">
        <x:v>Covered</x:v>
      </x:c>
      <x:c r="L65" s="80" t="str">
        <x:v>docs/01_Architecture/AUDIT-000_World_Engine_Architecture_Audit_Record_v1_0_Complete.docx</x:v>
      </x:c>
      <x:c r="M65" s="82" t="n">
        <x:v>0</x:v>
      </x:c>
    </x:row>
    <x:row r="66" ht="15" hidden="0" customHeight="1">
      <x:c r="A66" s="81" t="str">
        <x:v>docs/01_Architecture/AUDIT-011_ARCH-004-005_Regeneration.md</x:v>
      </x:c>
      <x:c r="B66" s="81" t="str">
        <x:v>md</x:v>
      </x:c>
      <x:c r="C66" s="81" t="str">
        <x:v>AUDIT-000</x:v>
      </x:c>
      <x:c r="D66" s="81" t="str">
        <x:v>Mixed / technical</x:v>
      </x:c>
      <x:c r="E66" s="81" t="str">
        <x:v>Audit evidence</x:v>
      </x:c>
      <x:c r="F66" s="83" t="n">
        <x:v>1</x:v>
      </x:c>
      <x:c r="G66" s="81" t="str">
        <x:v>AUDIT-000_World_Engine_Architecture_Audit_Record_v1_0_Complete.docx</x:v>
      </x:c>
      <x:c r="H66" s="81" t="str">
        <x:v>Active source</x:v>
      </x:c>
      <x:c r="I66" s="83" t="n">
        <x:v>5827</x:v>
      </x:c>
      <x:c r="J66" s="81" t="str">
        <x:v>25e1240a3e4c8a34368cd5b8ac95fd8e15539cde6d22e895278f2f2c3e0277f6</x:v>
      </x:c>
      <x:c r="K66" s="81" t="str">
        <x:v>Covered</x:v>
      </x:c>
      <x:c r="L66" s="81" t="str">
        <x:v>docs/01_Architecture/AUDIT-000_World_Engine_Architecture_Audit_Record_v1_0_Complete.docx</x:v>
      </x:c>
      <x:c r="M66" s="83" t="n">
        <x:v>0</x:v>
      </x:c>
    </x:row>
    <x:row r="67" ht="15" hidden="0" customHeight="1">
      <x:c r="A67" s="80" t="str">
        <x:v>docs/01_Architecture/AUDIT-011_ARCH-010_Source_Integrity_Correction.md</x:v>
      </x:c>
      <x:c r="B67" s="80" t="str">
        <x:v>md</x:v>
      </x:c>
      <x:c r="C67" s="80" t="str">
        <x:v>AUDIT-000</x:v>
      </x:c>
      <x:c r="D67" s="80" t="str">
        <x:v>Mixed / technical</x:v>
      </x:c>
      <x:c r="E67" s="80" t="str">
        <x:v>Audit evidence</x:v>
      </x:c>
      <x:c r="F67" s="82" t="n">
        <x:v>1</x:v>
      </x:c>
      <x:c r="G67" s="80" t="str">
        <x:v>AUDIT-000_World_Engine_Architecture_Audit_Record_v1_0_Complete.docx</x:v>
      </x:c>
      <x:c r="H67" s="80" t="str">
        <x:v>Active source</x:v>
      </x:c>
      <x:c r="I67" s="82" t="n">
        <x:v>4231</x:v>
      </x:c>
      <x:c r="J67" s="80" t="str">
        <x:v>aa5dee7049768a6b02655214841d04f61c4f02946c0f0fed1336b43d842a1d8b</x:v>
      </x:c>
      <x:c r="K67" s="80" t="str">
        <x:v>Covered</x:v>
      </x:c>
      <x:c r="L67" s="80" t="str">
        <x:v>docs/01_Architecture/AUDIT-000_World_Engine_Architecture_Audit_Record_v1_0_Complete.docx</x:v>
      </x:c>
      <x:c r="M67" s="82" t="n">
        <x:v>0</x:v>
      </x:c>
    </x:row>
    <x:row r="68" ht="15" hidden="0" customHeight="1">
      <x:c r="A68" s="81" t="str">
        <x:v>docs/01_Architecture/AUDIT-011_Current_Status_and_Finalization_Gates.md</x:v>
      </x:c>
      <x:c r="B68" s="81" t="str">
        <x:v>md</x:v>
      </x:c>
      <x:c r="C68" s="81" t="str">
        <x:v>AUDIT-000</x:v>
      </x:c>
      <x:c r="D68" s="81" t="str">
        <x:v>Mixed / technical</x:v>
      </x:c>
      <x:c r="E68" s="81" t="str">
        <x:v>Audit evidence</x:v>
      </x:c>
      <x:c r="F68" s="83" t="n">
        <x:v>1</x:v>
      </x:c>
      <x:c r="G68" s="81" t="str">
        <x:v>AUDIT-000_World_Engine_Architecture_Audit_Record_v1_0_Complete.docx</x:v>
      </x:c>
      <x:c r="H68" s="81" t="str">
        <x:v>Active source</x:v>
      </x:c>
      <x:c r="I68" s="83" t="n">
        <x:v>7671</x:v>
      </x:c>
      <x:c r="J68" s="81" t="str">
        <x:v>c25d579befcffe19baec1c36049747eff819771e673543e68f7789ddba07535e</x:v>
      </x:c>
      <x:c r="K68" s="81" t="str">
        <x:v>Covered</x:v>
      </x:c>
      <x:c r="L68" s="81" t="str">
        <x:v>docs/01_Architecture/AUDIT-000_World_Engine_Architecture_Audit_Record_v1_0_Complete.docx</x:v>
      </x:c>
      <x:c r="M68" s="83" t="n">
        <x:v>0</x:v>
      </x:c>
    </x:row>
    <x:row r="69" ht="15" hidden="0" customHeight="1">
      <x:c r="A69" s="80" t="str">
        <x:v>docs/01_Architecture/AUDIT-012_ARCH-010_Complete_Rebuild_and_QA.md</x:v>
      </x:c>
      <x:c r="B69" s="80" t="str">
        <x:v>md</x:v>
      </x:c>
      <x:c r="C69" s="80" t="str">
        <x:v>AUDIT-000</x:v>
      </x:c>
      <x:c r="D69" s="80" t="str">
        <x:v>Mixed / technical</x:v>
      </x:c>
      <x:c r="E69" s="80" t="str">
        <x:v>Audit evidence</x:v>
      </x:c>
      <x:c r="F69" s="82" t="n">
        <x:v>1</x:v>
      </x:c>
      <x:c r="G69" s="80" t="str">
        <x:v>AUDIT-000_World_Engine_Architecture_Audit_Record_v1_0_Complete.docx</x:v>
      </x:c>
      <x:c r="H69" s="80" t="str">
        <x:v>Active source</x:v>
      </x:c>
      <x:c r="I69" s="82" t="n">
        <x:v>7368</x:v>
      </x:c>
      <x:c r="J69" s="80" t="str">
        <x:v>97c07af8f3d506ec01bd864e069ca63610fb7d326bfdcb8d11746dbe4bf09afc</x:v>
      </x:c>
      <x:c r="K69" s="80" t="str">
        <x:v>Covered</x:v>
      </x:c>
      <x:c r="L69" s="80" t="str">
        <x:v>docs/01_Architecture/AUDIT-000_World_Engine_Architecture_Audit_Record_v1_0_Complete.docx</x:v>
      </x:c>
      <x:c r="M69" s="82" t="n">
        <x:v>0</x:v>
      </x:c>
    </x:row>
    <x:row r="70" ht="15" hidden="0" customHeight="1">
      <x:c r="A70" s="81" t="str">
        <x:v>docs/01_Architecture/AUDIT-012_ARCH-010_Rebuild_QA.md</x:v>
      </x:c>
      <x:c r="B70" s="81" t="str">
        <x:v>md</x:v>
      </x:c>
      <x:c r="C70" s="81" t="str">
        <x:v>AUDIT-000</x:v>
      </x:c>
      <x:c r="D70" s="81" t="str">
        <x:v>Mixed / technical</x:v>
      </x:c>
      <x:c r="E70" s="81" t="str">
        <x:v>Audit evidence</x:v>
      </x:c>
      <x:c r="F70" s="83" t="n">
        <x:v>1</x:v>
      </x:c>
      <x:c r="G70" s="81" t="str">
        <x:v>AUDIT-000_World_Engine_Architecture_Audit_Record_v1_0_Complete.docx</x:v>
      </x:c>
      <x:c r="H70" s="81" t="str">
        <x:v>Active source</x:v>
      </x:c>
      <x:c r="I70" s="83" t="n">
        <x:v>5474</x:v>
      </x:c>
      <x:c r="J70" s="81" t="str">
        <x:v>28d6dbb2bfa3a12c86135de78289b907a0c9b796361d359ee06552b9f1d2f37b</x:v>
      </x:c>
      <x:c r="K70" s="81" t="str">
        <x:v>Covered</x:v>
      </x:c>
      <x:c r="L70" s="81" t="str">
        <x:v>docs/01_Architecture/AUDIT-000_World_Engine_Architecture_Audit_Record_v1_0_Complete.docx</x:v>
      </x:c>
      <x:c r="M70" s="83" t="n">
        <x:v>0</x:v>
      </x:c>
    </x:row>
    <x:row r="71" ht="15" hidden="0" customHeight="1">
      <x:c r="A71" s="80" t="str">
        <x:v>docs/01_Architecture/AUDIT-012_Final_QA_ARCH-006-008-009-012.md</x:v>
      </x:c>
      <x:c r="B71" s="80" t="str">
        <x:v>md</x:v>
      </x:c>
      <x:c r="C71" s="80" t="str">
        <x:v>AUDIT-000</x:v>
      </x:c>
      <x:c r="D71" s="80" t="str">
        <x:v>Mixed / technical</x:v>
      </x:c>
      <x:c r="E71" s="80" t="str">
        <x:v>Audit evidence</x:v>
      </x:c>
      <x:c r="F71" s="82" t="n">
        <x:v>1</x:v>
      </x:c>
      <x:c r="G71" s="80" t="str">
        <x:v>AUDIT-000_World_Engine_Architecture_Audit_Record_v1_0_Complete.docx</x:v>
      </x:c>
      <x:c r="H71" s="80" t="str">
        <x:v>Active source</x:v>
      </x:c>
      <x:c r="I71" s="82" t="n">
        <x:v>7101</x:v>
      </x:c>
      <x:c r="J71" s="80" t="str">
        <x:v>e1b0e95b9a65004df5aa3fcb6184186a1326c19ea7588f9c546b94a2a92824ef</x:v>
      </x:c>
      <x:c r="K71" s="80" t="str">
        <x:v>Covered</x:v>
      </x:c>
      <x:c r="L71" s="80" t="str">
        <x:v>docs/01_Architecture/AUDIT-000_World_Engine_Architecture_Audit_Record_v1_0_Complete.docx</x:v>
      </x:c>
      <x:c r="M71" s="82" t="n">
        <x:v>0</x:v>
      </x:c>
    </x:row>
    <x:row r="72" ht="15" hidden="0" customHeight="1">
      <x:c r="A72" s="81" t="str">
        <x:v>docs/01_Architecture/AUDIT-013_ARCH-001-005_and_ADR_Final_QA.md</x:v>
      </x:c>
      <x:c r="B72" s="81" t="str">
        <x:v>md</x:v>
      </x:c>
      <x:c r="C72" s="81" t="str">
        <x:v>AUDIT-000</x:v>
      </x:c>
      <x:c r="D72" s="81" t="str">
        <x:v>Mixed / technical</x:v>
      </x:c>
      <x:c r="E72" s="81" t="str">
        <x:v>Audit evidence</x:v>
      </x:c>
      <x:c r="F72" s="83" t="n">
        <x:v>1</x:v>
      </x:c>
      <x:c r="G72" s="81" t="str">
        <x:v>AUDIT-000_World_Engine_Architecture_Audit_Record_v1_0_Complete.docx</x:v>
      </x:c>
      <x:c r="H72" s="81" t="str">
        <x:v>Active source</x:v>
      </x:c>
      <x:c r="I72" s="83" t="n">
        <x:v>7083</x:v>
      </x:c>
      <x:c r="J72" s="81" t="str">
        <x:v>e8fc082075ae35e6d50c2c8c236e4e477c6951be1adcdd0ed8e471765c77b119</x:v>
      </x:c>
      <x:c r="K72" s="81" t="str">
        <x:v>Covered</x:v>
      </x:c>
      <x:c r="L72" s="81" t="str">
        <x:v>docs/01_Architecture/AUDIT-000_World_Engine_Architecture_Audit_Record_v1_0_Complete.docx</x:v>
      </x:c>
      <x:c r="M72" s="83" t="n">
        <x:v>0</x:v>
      </x:c>
    </x:row>
    <x:row r="73" ht="15" hidden="0" customHeight="1">
      <x:c r="A73" s="80" t="str">
        <x:v>docs/01_Architecture/AUDIT-013_ARCH-007-011_Save_Restore_Consistency.md</x:v>
      </x:c>
      <x:c r="B73" s="80" t="str">
        <x:v>md</x:v>
      </x:c>
      <x:c r="C73" s="80" t="str">
        <x:v>AUDIT-000</x:v>
      </x:c>
      <x:c r="D73" s="80" t="str">
        <x:v>Mixed / technical</x:v>
      </x:c>
      <x:c r="E73" s="80" t="str">
        <x:v>Audit evidence</x:v>
      </x:c>
      <x:c r="F73" s="82" t="n">
        <x:v>1</x:v>
      </x:c>
      <x:c r="G73" s="80" t="str">
        <x:v>AUDIT-000_World_Engine_Architecture_Audit_Record_v1_0_Complete.docx</x:v>
      </x:c>
      <x:c r="H73" s="80" t="str">
        <x:v>Active source</x:v>
      </x:c>
      <x:c r="I73" s="82" t="n">
        <x:v>5138</x:v>
      </x:c>
      <x:c r="J73" s="80" t="str">
        <x:v>620c770c609eed84bf9d53e44c487c5790e698e47ca5324a0ac608de76e665a7</x:v>
      </x:c>
      <x:c r="K73" s="80" t="str">
        <x:v>Covered</x:v>
      </x:c>
      <x:c r="L73" s="80" t="str">
        <x:v>docs/01_Architecture/AUDIT-000_World_Engine_Architecture_Audit_Record_v1_0_Complete.docx</x:v>
      </x:c>
      <x:c r="M73" s="82" t="n">
        <x:v>0</x:v>
      </x:c>
    </x:row>
    <x:row r="74" ht="15" hidden="0" customHeight="1">
      <x:c r="A74" s="81" t="str">
        <x:v>docs/01_Architecture/AUDIT-014_ARCH-006_008_009_012_Final_QA.md</x:v>
      </x:c>
      <x:c r="B74" s="81" t="str">
        <x:v>md</x:v>
      </x:c>
      <x:c r="C74" s="81" t="str">
        <x:v>AUDIT-000</x:v>
      </x:c>
      <x:c r="D74" s="81" t="str">
        <x:v>Mixed / technical</x:v>
      </x:c>
      <x:c r="E74" s="81" t="str">
        <x:v>Audit evidence</x:v>
      </x:c>
      <x:c r="F74" s="83" t="n">
        <x:v>1</x:v>
      </x:c>
      <x:c r="G74" s="81" t="str">
        <x:v>AUDIT-000_World_Engine_Architecture_Audit_Record_v1_0_Complete.docx</x:v>
      </x:c>
      <x:c r="H74" s="81" t="str">
        <x:v>Active source</x:v>
      </x:c>
      <x:c r="I74" s="83" t="n">
        <x:v>8470</x:v>
      </x:c>
      <x:c r="J74" s="81" t="str">
        <x:v>117c699c8f94cd5289743b0f9e45fa3f4b16b4a97bac26320d797cad194e411f</x:v>
      </x:c>
      <x:c r="K74" s="81" t="str">
        <x:v>Covered</x:v>
      </x:c>
      <x:c r="L74" s="81" t="str">
        <x:v>docs/01_Architecture/AUDIT-000_World_Engine_Architecture_Audit_Record_v1_0_Complete.docx</x:v>
      </x:c>
      <x:c r="M74" s="83" t="n">
        <x:v>0</x:v>
      </x:c>
    </x:row>
    <x:row r="75" ht="15" hidden="0" customHeight="1">
      <x:c r="A75" s="80" t="str">
        <x:v>docs/01_Architecture/AUDIT-014_ARCH-008-009-012_Process_Readiness_Consistency.md</x:v>
      </x:c>
      <x:c r="B75" s="80" t="str">
        <x:v>md</x:v>
      </x:c>
      <x:c r="C75" s="80" t="str">
        <x:v>AUDIT-000</x:v>
      </x:c>
      <x:c r="D75" s="80" t="str">
        <x:v>Mixed / technical</x:v>
      </x:c>
      <x:c r="E75" s="80" t="str">
        <x:v>Audit evidence</x:v>
      </x:c>
      <x:c r="F75" s="82" t="n">
        <x:v>1</x:v>
      </x:c>
      <x:c r="G75" s="80" t="str">
        <x:v>AUDIT-000_World_Engine_Architecture_Audit_Record_v1_0_Complete.docx</x:v>
      </x:c>
      <x:c r="H75" s="80" t="str">
        <x:v>Active source</x:v>
      </x:c>
      <x:c r="I75" s="82" t="n">
        <x:v>6801</x:v>
      </x:c>
      <x:c r="J75" s="80" t="str">
        <x:v>e4218e24c276046c07e1cc9ea8e64319d3c80648a582d16acf878ce1c5ab26e3</x:v>
      </x:c>
      <x:c r="K75" s="80" t="str">
        <x:v>Covered</x:v>
      </x:c>
      <x:c r="L75" s="80" t="str">
        <x:v>docs/01_Architecture/AUDIT-000_World_Engine_Architecture_Audit_Record_v1_0_Complete.docx</x:v>
      </x:c>
      <x:c r="M75" s="82" t="n">
        <x:v>0</x:v>
      </x:c>
    </x:row>
    <x:row r="76" ht="15" hidden="0" customHeight="1">
      <x:c r="A76" s="81" t="str">
        <x:v>docs/01_Architecture/AUDIT-015_ARCH-007-011_Final_Artifact_QA.md</x:v>
      </x:c>
      <x:c r="B76" s="81" t="str">
        <x:v>md</x:v>
      </x:c>
      <x:c r="C76" s="81" t="str">
        <x:v>AUDIT-000</x:v>
      </x:c>
      <x:c r="D76" s="81" t="str">
        <x:v>Mixed / technical</x:v>
      </x:c>
      <x:c r="E76" s="81" t="str">
        <x:v>Audit evidence</x:v>
      </x:c>
      <x:c r="F76" s="83" t="n">
        <x:v>1</x:v>
      </x:c>
      <x:c r="G76" s="81" t="str">
        <x:v>AUDIT-000_World_Engine_Architecture_Audit_Record_v1_0_Complete.docx</x:v>
      </x:c>
      <x:c r="H76" s="81" t="str">
        <x:v>Active source</x:v>
      </x:c>
      <x:c r="I76" s="83" t="n">
        <x:v>4621</x:v>
      </x:c>
      <x:c r="J76" s="81" t="str">
        <x:v>d67f7b1249efcdbc3476ee34bb6396798138609d52145d36b0c5d2de0d082459</x:v>
      </x:c>
      <x:c r="K76" s="81" t="str">
        <x:v>Covered</x:v>
      </x:c>
      <x:c r="L76" s="81" t="str">
        <x:v>docs/01_Architecture/AUDIT-000_World_Engine_Architecture_Audit_Record_v1_0_Complete.docx</x:v>
      </x:c>
      <x:c r="M76" s="83" t="n">
        <x:v>0</x:v>
      </x:c>
    </x:row>
    <x:row r="77" ht="15" hidden="0" customHeight="1">
      <x:c r="A77" s="80" t="str">
        <x:v>docs/01_Architecture/AUDIT-015_ARCH-011-012_Binary_Candidate_QA.md</x:v>
      </x:c>
      <x:c r="B77" s="80" t="str">
        <x:v>md</x:v>
      </x:c>
      <x:c r="C77" s="80" t="str">
        <x:v>AUDIT-000</x:v>
      </x:c>
      <x:c r="D77" s="80" t="str">
        <x:v>Mixed / technical</x:v>
      </x:c>
      <x:c r="E77" s="80" t="str">
        <x:v>Audit evidence</x:v>
      </x:c>
      <x:c r="F77" s="82" t="n">
        <x:v>1</x:v>
      </x:c>
      <x:c r="G77" s="80" t="str">
        <x:v>AUDIT-000_World_Engine_Architecture_Audit_Record_v1_0_Complete.docx</x:v>
      </x:c>
      <x:c r="H77" s="80" t="str">
        <x:v>Active source</x:v>
      </x:c>
      <x:c r="I77" s="82" t="n">
        <x:v>5345</x:v>
      </x:c>
      <x:c r="J77" s="80" t="str">
        <x:v>76c4121f8348f9e00b78670a07c658f3af3be00e8e347a4c73440c69d3dd3d78</x:v>
      </x:c>
      <x:c r="K77" s="80" t="str">
        <x:v>Covered</x:v>
      </x:c>
      <x:c r="L77" s="80" t="str">
        <x:v>docs/01_Architecture/AUDIT-000_World_Engine_Architecture_Audit_Record_v1_0_Complete.docx</x:v>
      </x:c>
      <x:c r="M77" s="82" t="n">
        <x:v>0</x:v>
      </x:c>
    </x:row>
    <x:row r="78" ht="15" hidden="0" customHeight="1">
      <x:c r="A78" s="81" t="str">
        <x:v>docs/01_Architecture/AUDIT-016_ADR_Correction_Package_Final_Visual_QA.md</x:v>
      </x:c>
      <x:c r="B78" s="81" t="str">
        <x:v>md</x:v>
      </x:c>
      <x:c r="C78" s="81" t="str">
        <x:v>AUDIT-000</x:v>
      </x:c>
      <x:c r="D78" s="81" t="str">
        <x:v>Mixed / technical</x:v>
      </x:c>
      <x:c r="E78" s="81" t="str">
        <x:v>Audit evidence</x:v>
      </x:c>
      <x:c r="F78" s="83" t="n">
        <x:v>1</x:v>
      </x:c>
      <x:c r="G78" s="81" t="str">
        <x:v>AUDIT-000_World_Engine_Architecture_Audit_Record_v1_0_Complete.docx</x:v>
      </x:c>
      <x:c r="H78" s="81" t="str">
        <x:v>Active source</x:v>
      </x:c>
      <x:c r="I78" s="83" t="n">
        <x:v>3784</x:v>
      </x:c>
      <x:c r="J78" s="81" t="str">
        <x:v>ed4307449ce3a64fa7355867cbc7a7869c135060108120e5c1d2f4c1a9f67b3e</x:v>
      </x:c>
      <x:c r="K78" s="81" t="str">
        <x:v>Covered</x:v>
      </x:c>
      <x:c r="L78" s="81" t="str">
        <x:v>docs/01_Architecture/AUDIT-000_World_Engine_Architecture_Audit_Record_v1_0_Complete.docx</x:v>
      </x:c>
      <x:c r="M78" s="83" t="n">
        <x:v>0</x:v>
      </x:c>
    </x:row>
    <x:row r="79" ht="15" hidden="0" customHeight="1">
      <x:c r="A79" s="80" t="str">
        <x:v>docs/01_Architecture/AUDIT-019_Repository_Publication_and_Supersession_Plan.md</x:v>
      </x:c>
      <x:c r="B79" s="80" t="str">
        <x:v>md</x:v>
      </x:c>
      <x:c r="C79" s="80" t="str">
        <x:v>AUDIT-000</x:v>
      </x:c>
      <x:c r="D79" s="80" t="str">
        <x:v>Mixed / technical</x:v>
      </x:c>
      <x:c r="E79" s="80" t="str">
        <x:v>Audit evidence</x:v>
      </x:c>
      <x:c r="F79" s="82" t="n">
        <x:v>1</x:v>
      </x:c>
      <x:c r="G79" s="80" t="str">
        <x:v>AUDIT-000_World_Engine_Architecture_Audit_Record_v1_0_Complete.docx</x:v>
      </x:c>
      <x:c r="H79" s="80" t="str">
        <x:v>Active source</x:v>
      </x:c>
      <x:c r="I79" s="82" t="n">
        <x:v>12407</x:v>
      </x:c>
      <x:c r="J79" s="80" t="str">
        <x:v>407469f611093eaf2d5506a7197387b1e4996201b9f56af0610f5b5f223f6ca1</x:v>
      </x:c>
      <x:c r="K79" s="80" t="str">
        <x:v>Covered</x:v>
      </x:c>
      <x:c r="L79" s="80" t="str">
        <x:v>docs/01_Architecture/AUDIT-000_World_Engine_Architecture_Audit_Record_v1_0_Complete.docx</x:v>
      </x:c>
      <x:c r="M79" s="82" t="n">
        <x:v>0</x:v>
      </x:c>
    </x:row>
    <x:row r="80" ht="15" hidden="0" customHeight="1">
      <x:c r="A80" s="81" t="str">
        <x:v>docs/01_Architecture/AUDIT-020_Prepublication_Repository_Integrity_Checkpoint.md</x:v>
      </x:c>
      <x:c r="B80" s="81" t="str">
        <x:v>md</x:v>
      </x:c>
      <x:c r="C80" s="81" t="str">
        <x:v>AUDIT-000</x:v>
      </x:c>
      <x:c r="D80" s="81" t="str">
        <x:v>Mixed / technical</x:v>
      </x:c>
      <x:c r="E80" s="81" t="str">
        <x:v>Audit evidence</x:v>
      </x:c>
      <x:c r="F80" s="83" t="n">
        <x:v>1</x:v>
      </x:c>
      <x:c r="G80" s="81" t="str">
        <x:v>AUDIT-000_World_Engine_Architecture_Audit_Record_v1_0_Complete.docx</x:v>
      </x:c>
      <x:c r="H80" s="81" t="str">
        <x:v>Active source</x:v>
      </x:c>
      <x:c r="I80" s="83" t="n">
        <x:v>8124</x:v>
      </x:c>
      <x:c r="J80" s="81" t="str">
        <x:v>5153b0e0389cd061c1e1f0c02e56908124d56c7c461517c8c6b8b101a1e0bd12</x:v>
      </x:c>
      <x:c r="K80" s="81" t="str">
        <x:v>Covered</x:v>
      </x:c>
      <x:c r="L80" s="81" t="str">
        <x:v>docs/01_Architecture/AUDIT-000_World_Engine_Architecture_Audit_Record_v1_0_Complete.docx</x:v>
      </x:c>
      <x:c r="M80" s="83" t="n">
        <x:v>0</x:v>
      </x:c>
    </x:row>
    <x:row r="81" ht="15" hidden="0" customHeight="1">
      <x:c r="A81" s="80" t="str">
        <x:v>docs/01_Architecture/AUDIT-022_ARCH-001-005_v1_4_Final_Publication_QA.md</x:v>
      </x:c>
      <x:c r="B81" s="80" t="str">
        <x:v>md</x:v>
      </x:c>
      <x:c r="C81" s="80" t="str">
        <x:v>AUDIT-000</x:v>
      </x:c>
      <x:c r="D81" s="80" t="str">
        <x:v>Mixed / technical</x:v>
      </x:c>
      <x:c r="E81" s="80" t="str">
        <x:v>Audit evidence</x:v>
      </x:c>
      <x:c r="F81" s="82" t="n">
        <x:v>1</x:v>
      </x:c>
      <x:c r="G81" s="80" t="str">
        <x:v>AUDIT-000_World_Engine_Architecture_Audit_Record_v1_0_Complete.docx</x:v>
      </x:c>
      <x:c r="H81" s="80" t="str">
        <x:v>Active source</x:v>
      </x:c>
      <x:c r="I81" s="82" t="n">
        <x:v>7173</x:v>
      </x:c>
      <x:c r="J81" s="80" t="str">
        <x:v>2804d9553a27138e3031b410de07ef7472927c596d3d53b758cf55031da9e3b9</x:v>
      </x:c>
      <x:c r="K81" s="80" t="str">
        <x:v>Covered</x:v>
      </x:c>
      <x:c r="L81" s="80" t="str">
        <x:v>docs/01_Architecture/AUDIT-000_World_Engine_Architecture_Audit_Record_v1_0_Complete.docx</x:v>
      </x:c>
      <x:c r="M81" s="82" t="n">
        <x:v>0</x:v>
      </x:c>
    </x:row>
    <x:row r="82" ht="15" hidden="0" customHeight="1">
      <x:c r="A82" s="81" t="str">
        <x:v>docs/01_Architecture/AUDIT-023_ARCH-007-011-012_Final_Publication_QA.md</x:v>
      </x:c>
      <x:c r="B82" s="81" t="str">
        <x:v>md</x:v>
      </x:c>
      <x:c r="C82" s="81" t="str">
        <x:v>AUDIT-000</x:v>
      </x:c>
      <x:c r="D82" s="81" t="str">
        <x:v>Mixed / technical</x:v>
      </x:c>
      <x:c r="E82" s="81" t="str">
        <x:v>Audit evidence</x:v>
      </x:c>
      <x:c r="F82" s="83" t="n">
        <x:v>1</x:v>
      </x:c>
      <x:c r="G82" s="81" t="str">
        <x:v>AUDIT-000_World_Engine_Architecture_Audit_Record_v1_0_Complete.docx</x:v>
      </x:c>
      <x:c r="H82" s="81" t="str">
        <x:v>Active source</x:v>
      </x:c>
      <x:c r="I82" s="83" t="n">
        <x:v>6057</x:v>
      </x:c>
      <x:c r="J82" s="81" t="str">
        <x:v>fa2c6a29a7722c5cd89a9e60aa4fc39d3685d61973c8f3edf7d91847564c0c50</x:v>
      </x:c>
      <x:c r="K82" s="81" t="str">
        <x:v>Covered</x:v>
      </x:c>
      <x:c r="L82" s="81" t="str">
        <x:v>docs/01_Architecture/AUDIT-000_World_Engine_Architecture_Audit_Record_v1_0_Complete.docx</x:v>
      </x:c>
      <x:c r="M82" s="83" t="n">
        <x:v>0</x:v>
      </x:c>
    </x:row>
    <x:row r="83" ht="15" hidden="0" customHeight="1">
      <x:c r="A83" s="80" t="str">
        <x:v>docs/01_Architecture/AUDIT-024_ARCH-008-009_Final_Publication_QA.md</x:v>
      </x:c>
      <x:c r="B83" s="80" t="str">
        <x:v>md</x:v>
      </x:c>
      <x:c r="C83" s="80" t="str">
        <x:v>AUDIT-000</x:v>
      </x:c>
      <x:c r="D83" s="80" t="str">
        <x:v>Mixed / technical</x:v>
      </x:c>
      <x:c r="E83" s="80" t="str">
        <x:v>Audit evidence</x:v>
      </x:c>
      <x:c r="F83" s="82" t="n">
        <x:v>1</x:v>
      </x:c>
      <x:c r="G83" s="80" t="str">
        <x:v>AUDIT-000_World_Engine_Architecture_Audit_Record_v1_0_Complete.docx</x:v>
      </x:c>
      <x:c r="H83" s="80" t="str">
        <x:v>Active source</x:v>
      </x:c>
      <x:c r="I83" s="82" t="n">
        <x:v>6247</x:v>
      </x:c>
      <x:c r="J83" s="80" t="str">
        <x:v>4f354546cf1c4d225db980172fa28a56489d41b2b946a05b9dbe3a491f3000d1</x:v>
      </x:c>
      <x:c r="K83" s="80" t="str">
        <x:v>Covered</x:v>
      </x:c>
      <x:c r="L83" s="80" t="str">
        <x:v>docs/01_Architecture/AUDIT-000_World_Engine_Architecture_Audit_Record_v1_0_Complete.docx</x:v>
      </x:c>
      <x:c r="M83" s="82" t="n">
        <x:v>0</x:v>
      </x:c>
    </x:row>
    <x:row r="84" ht="15" hidden="0" customHeight="1">
      <x:c r="A84" s="81" t="str">
        <x:v>docs/01_Architecture/AUDIT-025_ARCH-010_v1_1_Final_Publication_QA.md</x:v>
      </x:c>
      <x:c r="B84" s="81" t="str">
        <x:v>md</x:v>
      </x:c>
      <x:c r="C84" s="81" t="str">
        <x:v>AUDIT-000</x:v>
      </x:c>
      <x:c r="D84" s="81" t="str">
        <x:v>Mixed / technical</x:v>
      </x:c>
      <x:c r="E84" s="81" t="str">
        <x:v>Audit evidence</x:v>
      </x:c>
      <x:c r="F84" s="83" t="n">
        <x:v>1</x:v>
      </x:c>
      <x:c r="G84" s="81" t="str">
        <x:v>AUDIT-000_World_Engine_Architecture_Audit_Record_v1_0_Complete.docx</x:v>
      </x:c>
      <x:c r="H84" s="81" t="str">
        <x:v>Active source</x:v>
      </x:c>
      <x:c r="I84" s="83" t="n">
        <x:v>6254</x:v>
      </x:c>
      <x:c r="J84" s="81" t="str">
        <x:v>80eb4e6dd80ef6346bb41649e75ec3e51e750c8d358af27abae1059108f3214f</x:v>
      </x:c>
      <x:c r="K84" s="81" t="str">
        <x:v>Covered</x:v>
      </x:c>
      <x:c r="L84" s="81" t="str">
        <x:v>docs/01_Architecture/AUDIT-000_World_Engine_Architecture_Audit_Record_v1_0_Complete.docx</x:v>
      </x:c>
      <x:c r="M84" s="83" t="n">
        <x:v>0</x:v>
      </x:c>
    </x:row>
    <x:row r="85" ht="15" hidden="0" customHeight="1">
      <x:c r="A85" s="80" t="str">
        <x:v>docs/01_Architecture/AUDIT-026_ADR_Package_Rebuild_and_Final_Publication_QA.md</x:v>
      </x:c>
      <x:c r="B85" s="80" t="str">
        <x:v>md</x:v>
      </x:c>
      <x:c r="C85" s="80" t="str">
        <x:v>AUDIT-000</x:v>
      </x:c>
      <x:c r="D85" s="80" t="str">
        <x:v>Mixed / technical</x:v>
      </x:c>
      <x:c r="E85" s="80" t="str">
        <x:v>Audit evidence</x:v>
      </x:c>
      <x:c r="F85" s="82" t="n">
        <x:v>1</x:v>
      </x:c>
      <x:c r="G85" s="80" t="str">
        <x:v>AUDIT-000_World_Engine_Architecture_Audit_Record_v1_0_Complete.docx</x:v>
      </x:c>
      <x:c r="H85" s="80" t="str">
        <x:v>Active source</x:v>
      </x:c>
      <x:c r="I85" s="82" t="n">
        <x:v>8941</x:v>
      </x:c>
      <x:c r="J85" s="80" t="str">
        <x:v>56d7f9d2513948ee56eaf96e6b98424e71264fa3c01ba7aa43613bd988fb8944</x:v>
      </x:c>
      <x:c r="K85" s="80" t="str">
        <x:v>Covered</x:v>
      </x:c>
      <x:c r="L85" s="80" t="str">
        <x:v>docs/01_Architecture/AUDIT-000_World_Engine_Architecture_Audit_Record_v1_0_Complete.docx</x:v>
      </x:c>
      <x:c r="M85" s="82" t="n">
        <x:v>0</x:v>
      </x:c>
    </x:row>
    <x:row r="86" ht="15" hidden="0" customHeight="1">
      <x:c r="A86" s="81" t="str">
        <x:v>docs/01_Architecture/AUDIT-027_ADR-005_v1_2_Binary_Remediation_QA.md</x:v>
      </x:c>
      <x:c r="B86" s="81" t="str">
        <x:v>md</x:v>
      </x:c>
      <x:c r="C86" s="81" t="str">
        <x:v>AUDIT-000</x:v>
      </x:c>
      <x:c r="D86" s="81" t="str">
        <x:v>Mixed / technical</x:v>
      </x:c>
      <x:c r="E86" s="81" t="str">
        <x:v>Audit evidence</x:v>
      </x:c>
      <x:c r="F86" s="83" t="n">
        <x:v>1</x:v>
      </x:c>
      <x:c r="G86" s="81" t="str">
        <x:v>AUDIT-000_World_Engine_Architecture_Audit_Record_v1_0_Complete.docx</x:v>
      </x:c>
      <x:c r="H86" s="81" t="str">
        <x:v>Active source</x:v>
      </x:c>
      <x:c r="I86" s="83" t="n">
        <x:v>3924</x:v>
      </x:c>
      <x:c r="J86" s="81" t="str">
        <x:v>551c842a7afe9073fb0ce54cc30b001da45d999dbfb52a8da2d4ec97f636f772</x:v>
      </x:c>
      <x:c r="K86" s="81" t="str">
        <x:v>Covered</x:v>
      </x:c>
      <x:c r="L86" s="81" t="str">
        <x:v>docs/01_Architecture/AUDIT-000_World_Engine_Architecture_Audit_Record_v1_0_Complete.docx</x:v>
      </x:c>
      <x:c r="M86" s="83" t="n">
        <x:v>0</x:v>
      </x:c>
    </x:row>
    <x:row r="87" ht="15" hidden="0" customHeight="1">
      <x:c r="A87" s="80" t="str">
        <x:v>docs/01_Architecture/AUDIT-028_Final_Repository_Consistency_and_Merge_Readiness.md</x:v>
      </x:c>
      <x:c r="B87" s="80" t="str">
        <x:v>md</x:v>
      </x:c>
      <x:c r="C87" s="80" t="str">
        <x:v>AUDIT-000</x:v>
      </x:c>
      <x:c r="D87" s="80" t="str">
        <x:v>Mixed / technical</x:v>
      </x:c>
      <x:c r="E87" s="80" t="str">
        <x:v>Audit evidence</x:v>
      </x:c>
      <x:c r="F87" s="82" t="n">
        <x:v>1</x:v>
      </x:c>
      <x:c r="G87" s="80" t="str">
        <x:v>AUDIT-000_World_Engine_Architecture_Audit_Record_v1_0_Complete.docx</x:v>
      </x:c>
      <x:c r="H87" s="80" t="str">
        <x:v>Active source</x:v>
      </x:c>
      <x:c r="I87" s="82" t="n">
        <x:v>5228</x:v>
      </x:c>
      <x:c r="J87" s="80" t="str">
        <x:v>a756e182a1d60b2a936f881f486f11b4459c4a1dc59773b84ba2045f51730a41</x:v>
      </x:c>
      <x:c r="K87" s="80" t="str">
        <x:v>Covered</x:v>
      </x:c>
      <x:c r="L87" s="80" t="str">
        <x:v>docs/01_Architecture/AUDIT-000_World_Engine_Architecture_Audit_Record_v1_0_Complete.docx</x:v>
      </x:c>
      <x:c r="M87" s="82" t="n">
        <x:v>0</x:v>
      </x:c>
    </x:row>
    <x:row r="88" ht="15" hidden="0" customHeight="1">
      <x:c r="A88" s="81" t="str">
        <x:v>docs/01_Architecture/AUDIT-029_Document_Consolidation_Visual_Semantic_and_Archive_QA.md</x:v>
      </x:c>
      <x:c r="B88" s="81" t="str">
        <x:v>md</x:v>
      </x:c>
      <x:c r="C88" s="81" t="str">
        <x:v>AUDIT-000</x:v>
      </x:c>
      <x:c r="D88" s="81" t="str">
        <x:v>Mixed / technical</x:v>
      </x:c>
      <x:c r="E88" s="81" t="str">
        <x:v>Audit evidence</x:v>
      </x:c>
      <x:c r="F88" s="83" t="n">
        <x:v>1</x:v>
      </x:c>
      <x:c r="G88" s="81" t="str">
        <x:v>AUDIT-000_World_Engine_Architecture_Audit_Record_v1_0_Complete.docx</x:v>
      </x:c>
      <x:c r="H88" s="81" t="str">
        <x:v>Active source</x:v>
      </x:c>
      <x:c r="I88" s="83" t="n">
        <x:v>4565</x:v>
      </x:c>
      <x:c r="J88" s="81" t="str">
        <x:v>2fb839315917f95cddd51272a2de07ad3c5b8c2c1b1fcbfd6db80c9f16267694</x:v>
      </x:c>
      <x:c r="K88" s="81" t="str">
        <x:v>Covered</x:v>
      </x:c>
      <x:c r="L88" s="81" t="str">
        <x:v>docs/01_Architecture/AUDIT-000_World_Engine_Architecture_Audit_Record_v1_0_Complete.docx</x:v>
      </x:c>
      <x:c r="M88" s="83" t="n">
        <x:v>0</x:v>
      </x:c>
    </x:row>
    <x:row r="89" ht="21.600000381469727" hidden="0" customHeight="1">
      <x:c r="A89" s="80" t="str">
        <x:v>docs/02_Architecture_Decision_Records/ADR-001_Core_Architecture/ADR-001_Core_Architecture_DE_v2_0_Architecture_Audited_Complete.docx</x:v>
      </x:c>
      <x:c r="B89" s="80" t="str">
        <x:v>docx</x:v>
      </x:c>
      <x:c r="C89" s="80" t="str">
        <x:v>ADR-001</x:v>
      </x:c>
      <x:c r="D89" s="80" t="str">
        <x:v>DE</x:v>
      </x:c>
      <x:c r="E89" s="80" t="str">
        <x:v>Normative source</x:v>
      </x:c>
      <x:c r="F89" s="82" t="n">
        <x:v>1</x:v>
      </x:c>
      <x:c r="G89" s="80" t="str">
        <x:v>ADR-001_Core_Architecture_DE_v3_0_Full_Content_Audited_Complete.docx</x:v>
      </x:c>
      <x:c r="H89" s="80" t="str">
        <x:v>Active source</x:v>
      </x:c>
      <x:c r="I89" s="82" t="n">
        <x:v>42970</x:v>
      </x:c>
      <x:c r="J89" s="80" t="str">
        <x:v>42ac1cf383bcb06650c5fd3bb0acf2261a827d6db3b555fdff9e7876783c0038</x:v>
      </x:c>
      <x:c r="K89" s="80" t="str">
        <x:v>Covered</x:v>
      </x:c>
      <x:c r="L89" s="80" t="str">
        <x:v>docs/02_Architecture_Decision_Records/ADR-001_Core_Architecture/ADR-001_Core_Architecture_DE_v3_0_Full_Content_Audited_Complete.docx</x:v>
      </x:c>
      <x:c r="M89" s="82" t="n">
        <x:v>0</x:v>
      </x:c>
    </x:row>
    <x:row r="90" ht="21.600000381469727" hidden="0" customHeight="1">
      <x:c r="A90" s="81" t="str">
        <x:v>docs/02_Architecture_Decision_Records/ADR-001_Core_Architecture/ADR-001_Core_Architecture_RU_v2_0_Architecture_Audited_Complete.docx</x:v>
      </x:c>
      <x:c r="B90" s="81" t="str">
        <x:v>docx</x:v>
      </x:c>
      <x:c r="C90" s="81" t="str">
        <x:v>ADR-001</x:v>
      </x:c>
      <x:c r="D90" s="81" t="str">
        <x:v>RU</x:v>
      </x:c>
      <x:c r="E90" s="81" t="str">
        <x:v>Normative source</x:v>
      </x:c>
      <x:c r="F90" s="83" t="n">
        <x:v>1</x:v>
      </x:c>
      <x:c r="G90" s="81" t="str">
        <x:v>ADR-001_Core_Architecture_RU_v3_0_Full_Content_Audited_Complete.docx</x:v>
      </x:c>
      <x:c r="H90" s="81" t="str">
        <x:v>Active source</x:v>
      </x:c>
      <x:c r="I90" s="83" t="n">
        <x:v>43641</x:v>
      </x:c>
      <x:c r="J90" s="81" t="str">
        <x:v>71e5fb060519795f3fd4b0a16770cb46db18a952d22923649d5236daf798be6f</x:v>
      </x:c>
      <x:c r="K90" s="81" t="str">
        <x:v>Covered</x:v>
      </x:c>
      <x:c r="L90" s="81" t="str">
        <x:v>docs/02_Architecture_Decision_Records/ADR-001_Core_Architecture/ADR-001_Core_Architecture_RU_v3_0_Full_Content_Audited_Complete.docx</x:v>
      </x:c>
      <x:c r="M90" s="83" t="n">
        <x:v>0</x:v>
      </x:c>
    </x:row>
    <x:row r="91" ht="21.600000381469727" hidden="0" customHeight="1">
      <x:c r="A91" s="80" t="str">
        <x:v>docs/02_Architecture_Decision_Records/ADR-002_Event_System/ADR-002_Event_System_DE_v2_0_Architecture_Audited_Complete.docx</x:v>
      </x:c>
      <x:c r="B91" s="80" t="str">
        <x:v>docx</x:v>
      </x:c>
      <x:c r="C91" s="80" t="str">
        <x:v>ADR-002</x:v>
      </x:c>
      <x:c r="D91" s="80" t="str">
        <x:v>DE</x:v>
      </x:c>
      <x:c r="E91" s="80" t="str">
        <x:v>Normative source</x:v>
      </x:c>
      <x:c r="F91" s="82" t="n">
        <x:v>1</x:v>
      </x:c>
      <x:c r="G91" s="80" t="str">
        <x:v>ADR-002_Event_System_DE_v3_0_Full_Content_Audited_Complete.docx</x:v>
      </x:c>
      <x:c r="H91" s="80" t="str">
        <x:v>Active source</x:v>
      </x:c>
      <x:c r="I91" s="82" t="n">
        <x:v>42715</x:v>
      </x:c>
      <x:c r="J91" s="80" t="str">
        <x:v>d86ed64f1bb5160d587f45bd646df568b9d7f590636cad8e043a4b51ce87f104</x:v>
      </x:c>
      <x:c r="K91" s="80" t="str">
        <x:v>Covered</x:v>
      </x:c>
      <x:c r="L91" s="80" t="str">
        <x:v>docs/02_Architecture_Decision_Records/ADR-002_Event_System/ADR-002_Event_System_DE_v3_0_Full_Content_Audited_Complete.docx</x:v>
      </x:c>
      <x:c r="M91" s="82" t="n">
        <x:v>0</x:v>
      </x:c>
    </x:row>
    <x:row r="92" ht="21.600000381469727" hidden="0" customHeight="1">
      <x:c r="A92" s="81" t="str">
        <x:v>docs/02_Architecture_Decision_Records/ADR-002_Event_System/ADR-002_Event_System_RU_v2_0_Architecture_Audited_Complete.docx</x:v>
      </x:c>
      <x:c r="B92" s="81" t="str">
        <x:v>docx</x:v>
      </x:c>
      <x:c r="C92" s="81" t="str">
        <x:v>ADR-002</x:v>
      </x:c>
      <x:c r="D92" s="81" t="str">
        <x:v>RU</x:v>
      </x:c>
      <x:c r="E92" s="81" t="str">
        <x:v>Normative source</x:v>
      </x:c>
      <x:c r="F92" s="83" t="n">
        <x:v>1</x:v>
      </x:c>
      <x:c r="G92" s="81" t="str">
        <x:v>ADR-002_Event_System_RU_v3_0_Full_Content_Audited_Complete.docx</x:v>
      </x:c>
      <x:c r="H92" s="81" t="str">
        <x:v>Active source</x:v>
      </x:c>
      <x:c r="I92" s="83" t="n">
        <x:v>43337</x:v>
      </x:c>
      <x:c r="J92" s="81" t="str">
        <x:v>0e378f3f105d78c30b73be956e90cc0215d9ba00d9744c17fb016e85bb35cff6</x:v>
      </x:c>
      <x:c r="K92" s="81" t="str">
        <x:v>Covered</x:v>
      </x:c>
      <x:c r="L92" s="81" t="str">
        <x:v>docs/02_Architecture_Decision_Records/ADR-002_Event_System/ADR-002_Event_System_RU_v3_0_Full_Content_Audited_Complete.docx</x:v>
      </x:c>
      <x:c r="M92" s="83" t="n">
        <x:v>0</x:v>
      </x:c>
    </x:row>
    <x:row r="93" ht="21.600000381469727" hidden="0" customHeight="1">
      <x:c r="A93" s="80" t="str">
        <x:v>docs/02_Architecture_Decision_Records/ADR-003_Database/ADR-003_Database_DE_v2_0_Architecture_Audited_Complete.docx</x:v>
      </x:c>
      <x:c r="B93" s="80" t="str">
        <x:v>docx</x:v>
      </x:c>
      <x:c r="C93" s="80" t="str">
        <x:v>ADR-003</x:v>
      </x:c>
      <x:c r="D93" s="80" t="str">
        <x:v>DE</x:v>
      </x:c>
      <x:c r="E93" s="80" t="str">
        <x:v>Normative source</x:v>
      </x:c>
      <x:c r="F93" s="82" t="n">
        <x:v>1</x:v>
      </x:c>
      <x:c r="G93" s="80" t="str">
        <x:v>ADR-003_Database_DE_v3_0_Full_Content_Audited_Complete.docx</x:v>
      </x:c>
      <x:c r="H93" s="80" t="str">
        <x:v>Active source</x:v>
      </x:c>
      <x:c r="I93" s="82" t="n">
        <x:v>42654</x:v>
      </x:c>
      <x:c r="J93" s="80" t="str">
        <x:v>15c54da3890f4c356a85acb5c6a07aaded1721d95811b09214d586f8ae32ae60</x:v>
      </x:c>
      <x:c r="K93" s="80" t="str">
        <x:v>Covered</x:v>
      </x:c>
      <x:c r="L93" s="80" t="str">
        <x:v>docs/02_Architecture_Decision_Records/ADR-003_Database/ADR-003_Database_DE_v3_0_Full_Content_Audited_Complete.docx</x:v>
      </x:c>
      <x:c r="M93" s="82" t="n">
        <x:v>0</x:v>
      </x:c>
    </x:row>
    <x:row r="94" ht="21.600000381469727" hidden="0" customHeight="1">
      <x:c r="A94" s="81" t="str">
        <x:v>docs/02_Architecture_Decision_Records/ADR-003_Database/ADR-003_Database_RU_v2_0_Architecture_Audited_Complete.docx</x:v>
      </x:c>
      <x:c r="B94" s="81" t="str">
        <x:v>docx</x:v>
      </x:c>
      <x:c r="C94" s="81" t="str">
        <x:v>ADR-003</x:v>
      </x:c>
      <x:c r="D94" s="81" t="str">
        <x:v>RU</x:v>
      </x:c>
      <x:c r="E94" s="81" t="str">
        <x:v>Normative source</x:v>
      </x:c>
      <x:c r="F94" s="83" t="n">
        <x:v>1</x:v>
      </x:c>
      <x:c r="G94" s="81" t="str">
        <x:v>ADR-003_Database_RU_v3_0_Full_Content_Audited_Complete.docx</x:v>
      </x:c>
      <x:c r="H94" s="81" t="str">
        <x:v>Active source</x:v>
      </x:c>
      <x:c r="I94" s="83" t="n">
        <x:v>43285</x:v>
      </x:c>
      <x:c r="J94" s="81" t="str">
        <x:v>2b8ca6b9533905be1c1e50fe660e36d8f0d2bc83e1285dcd0444cd426c9b31dc</x:v>
      </x:c>
      <x:c r="K94" s="81" t="str">
        <x:v>Covered</x:v>
      </x:c>
      <x:c r="L94" s="81" t="str">
        <x:v>docs/02_Architecture_Decision_Records/ADR-003_Database/ADR-003_Database_RU_v3_0_Full_Content_Audited_Complete.docx</x:v>
      </x:c>
      <x:c r="M94" s="83" t="n">
        <x:v>0</x:v>
      </x:c>
    </x:row>
    <x:row r="95" ht="21.600000381469727" hidden="0" customHeight="1">
      <x:c r="A95" s="80" t="str">
        <x:v>docs/02_Architecture_Decision_Records/ADR-004_Local_AI/ADR-004_Local_AI_DE_v2_0_Architecture_Audited_Complete.docx</x:v>
      </x:c>
      <x:c r="B95" s="80" t="str">
        <x:v>docx</x:v>
      </x:c>
      <x:c r="C95" s="80" t="str">
        <x:v>ADR-004</x:v>
      </x:c>
      <x:c r="D95" s="80" t="str">
        <x:v>DE</x:v>
      </x:c>
      <x:c r="E95" s="80" t="str">
        <x:v>Normative source</x:v>
      </x:c>
      <x:c r="F95" s="82" t="n">
        <x:v>1</x:v>
      </x:c>
      <x:c r="G95" s="80" t="str">
        <x:v>ADR-004_Local_AI_DE_v3_0_Full_Content_Audited_Complete.docx</x:v>
      </x:c>
      <x:c r="H95" s="80" t="str">
        <x:v>Active source</x:v>
      </x:c>
      <x:c r="I95" s="82" t="n">
        <x:v>42710</x:v>
      </x:c>
      <x:c r="J95" s="80" t="str">
        <x:v>fa52dc7d20d4c30e8424e5d151d22cbaf7a6af9a731d03433879a25bc631c227</x:v>
      </x:c>
      <x:c r="K95" s="80" t="str">
        <x:v>Covered</x:v>
      </x:c>
      <x:c r="L95" s="80" t="str">
        <x:v>docs/02_Architecture_Decision_Records/ADR-004_Local_AI/ADR-004_Local_AI_DE_v3_0_Full_Content_Audited_Complete.docx</x:v>
      </x:c>
      <x:c r="M95" s="82" t="n">
        <x:v>0</x:v>
      </x:c>
    </x:row>
    <x:row r="96" ht="21.600000381469727" hidden="0" customHeight="1">
      <x:c r="A96" s="81" t="str">
        <x:v>docs/02_Architecture_Decision_Records/ADR-004_Local_AI/ADR-004_Local_AI_RU_v2_0_Architecture_Audited_Complete.docx</x:v>
      </x:c>
      <x:c r="B96" s="81" t="str">
        <x:v>docx</x:v>
      </x:c>
      <x:c r="C96" s="81" t="str">
        <x:v>ADR-004</x:v>
      </x:c>
      <x:c r="D96" s="81" t="str">
        <x:v>RU</x:v>
      </x:c>
      <x:c r="E96" s="81" t="str">
        <x:v>Normative source</x:v>
      </x:c>
      <x:c r="F96" s="83" t="n">
        <x:v>1</x:v>
      </x:c>
      <x:c r="G96" s="81" t="str">
        <x:v>ADR-004_Local_AI_RU_v3_0_Full_Content_Audited_Complete.docx</x:v>
      </x:c>
      <x:c r="H96" s="81" t="str">
        <x:v>Active source</x:v>
      </x:c>
      <x:c r="I96" s="83" t="n">
        <x:v>43226</x:v>
      </x:c>
      <x:c r="J96" s="81" t="str">
        <x:v>b510055d1cf7fc7cbef7ab2913356e880c28e7a78249a9df3fa8c56264093b7e</x:v>
      </x:c>
      <x:c r="K96" s="81" t="str">
        <x:v>Covered</x:v>
      </x:c>
      <x:c r="L96" s="81" t="str">
        <x:v>docs/02_Architecture_Decision_Records/ADR-004_Local_AI/ADR-004_Local_AI_RU_v3_0_Full_Content_Audited_Complete.docx</x:v>
      </x:c>
      <x:c r="M96" s="83" t="n">
        <x:v>0</x:v>
      </x:c>
    </x:row>
    <x:row r="97" ht="21.600000381469727" hidden="0" customHeight="1">
      <x:c r="A97" s="80" t="str">
        <x:v>docs/02_Architecture_Decision_Records/ADR-005_Save_System/ADR-005_Save_System_DE_v2_0_Architecture_Audited_Complete.docx</x:v>
      </x:c>
      <x:c r="B97" s="80" t="str">
        <x:v>docx</x:v>
      </x:c>
      <x:c r="C97" s="80" t="str">
        <x:v>ADR-005</x:v>
      </x:c>
      <x:c r="D97" s="80" t="str">
        <x:v>DE</x:v>
      </x:c>
      <x:c r="E97" s="80" t="str">
        <x:v>Normative source</x:v>
      </x:c>
      <x:c r="F97" s="82" t="n">
        <x:v>1</x:v>
      </x:c>
      <x:c r="G97" s="80" t="str">
        <x:v>ADR-005_Save_System_DE_v3_0_Full_Content_Audited_Complete.docx</x:v>
      </x:c>
      <x:c r="H97" s="80" t="str">
        <x:v>Active source</x:v>
      </x:c>
      <x:c r="I97" s="82" t="n">
        <x:v>42896</x:v>
      </x:c>
      <x:c r="J97" s="80" t="str">
        <x:v>5ac229d8cf0d0a9390ba9e439bf48737584069d47740e1118bc4ec449e7b9c1c</x:v>
      </x:c>
      <x:c r="K97" s="80" t="str">
        <x:v>Covered</x:v>
      </x:c>
      <x:c r="L97" s="80" t="str">
        <x:v>docs/02_Architecture_Decision_Records/ADR-005_Save_System/ADR-005_Save_System_DE_v3_0_Full_Content_Audited_Complete.docx</x:v>
      </x:c>
      <x:c r="M97" s="82" t="n">
        <x:v>0</x:v>
      </x:c>
    </x:row>
    <x:row r="98" ht="21.600000381469727" hidden="0" customHeight="1">
      <x:c r="A98" s="81" t="str">
        <x:v>docs/02_Architecture_Decision_Records/ADR-005_Save_System/ADR-005_Save_System_RU_v2_0_Architecture_Audited_Complete.docx</x:v>
      </x:c>
      <x:c r="B98" s="81" t="str">
        <x:v>docx</x:v>
      </x:c>
      <x:c r="C98" s="81" t="str">
        <x:v>ADR-005</x:v>
      </x:c>
      <x:c r="D98" s="81" t="str">
        <x:v>RU</x:v>
      </x:c>
      <x:c r="E98" s="81" t="str">
        <x:v>Normative source</x:v>
      </x:c>
      <x:c r="F98" s="83" t="n">
        <x:v>1</x:v>
      </x:c>
      <x:c r="G98" s="81" t="str">
        <x:v>ADR-005_Save_System_RU_v3_0_Full_Content_Audited_Complete.docx</x:v>
      </x:c>
      <x:c r="H98" s="81" t="str">
        <x:v>Active source</x:v>
      </x:c>
      <x:c r="I98" s="83" t="n">
        <x:v>43466</x:v>
      </x:c>
      <x:c r="J98" s="81" t="str">
        <x:v>496803c6d6a49f30eeb28bdf1f531222d20aa3f191e5a895b800e94958130509</x:v>
      </x:c>
      <x:c r="K98" s="81" t="str">
        <x:v>Covered</x:v>
      </x:c>
      <x:c r="L98" s="81" t="str">
        <x:v>docs/02_Architecture_Decision_Records/ADR-005_Save_System/ADR-005_Save_System_RU_v3_0_Full_Content_Audited_Complete.docx</x:v>
      </x:c>
      <x:c r="M98" s="83" t="n">
        <x:v>0</x:v>
      </x:c>
    </x:row>
    <x:row r="99" ht="21.600000381469727" hidden="0" customHeight="1">
      <x:c r="A99" s="80" t="str">
        <x:v>docs/02_Architecture_Decision_Records/ADR-006_Plugin_Detection/ADR-006_Plugin_Detection_DE_v2_0_Architecture_Audited_Complete.docx</x:v>
      </x:c>
      <x:c r="B99" s="80" t="str">
        <x:v>docx</x:v>
      </x:c>
      <x:c r="C99" s="80" t="str">
        <x:v>ADR-006</x:v>
      </x:c>
      <x:c r="D99" s="80" t="str">
        <x:v>DE</x:v>
      </x:c>
      <x:c r="E99" s="80" t="str">
        <x:v>Normative source</x:v>
      </x:c>
      <x:c r="F99" s="82" t="n">
        <x:v>1</x:v>
      </x:c>
      <x:c r="G99" s="80" t="str">
        <x:v>ADR-006_Plugin_Detection_DE_v3_0_Full_Content_Audited_Complete.docx</x:v>
      </x:c>
      <x:c r="H99" s="80" t="str">
        <x:v>Active source</x:v>
      </x:c>
      <x:c r="I99" s="82" t="n">
        <x:v>42524</x:v>
      </x:c>
      <x:c r="J99" s="80" t="str">
        <x:v>3dec60506c754c087eae153b5d11ae5e30fa340a64b4541930523acd3bc6f942</x:v>
      </x:c>
      <x:c r="K99" s="80" t="str">
        <x:v>Covered</x:v>
      </x:c>
      <x:c r="L99" s="80" t="str">
        <x:v>docs/02_Architecture_Decision_Records/ADR-006_Plugin_Detection/ADR-006_Plugin_Detection_DE_v3_0_Full_Content_Audited_Complete.docx</x:v>
      </x:c>
      <x:c r="M99" s="82" t="n">
        <x:v>0</x:v>
      </x:c>
    </x:row>
    <x:row r="100" ht="21.600000381469727" hidden="0" customHeight="1">
      <x:c r="A100" s="81" t="str">
        <x:v>docs/02_Architecture_Decision_Records/ADR-006_Plugin_Detection/ADR-006_Plugin_Detection_RU_v2_0_Architecture_Audited_Complete.docx</x:v>
      </x:c>
      <x:c r="B100" s="81" t="str">
        <x:v>docx</x:v>
      </x:c>
      <x:c r="C100" s="81" t="str">
        <x:v>ADR-006</x:v>
      </x:c>
      <x:c r="D100" s="81" t="str">
        <x:v>RU</x:v>
      </x:c>
      <x:c r="E100" s="81" t="str">
        <x:v>Normative source</x:v>
      </x:c>
      <x:c r="F100" s="83" t="n">
        <x:v>1</x:v>
      </x:c>
      <x:c r="G100" s="81" t="str">
        <x:v>ADR-006_Plugin_Detection_RU_v3_0_Full_Content_Audited_Complete.docx</x:v>
      </x:c>
      <x:c r="H100" s="81" t="str">
        <x:v>Active source</x:v>
      </x:c>
      <x:c r="I100" s="83" t="n">
        <x:v>43092</x:v>
      </x:c>
      <x:c r="J100" s="81" t="str">
        <x:v>84bcd097e3c409472f1d94815b585a3d1143f89990571818f6333e91b326bfe2</x:v>
      </x:c>
      <x:c r="K100" s="81" t="str">
        <x:v>Covered</x:v>
      </x:c>
      <x:c r="L100" s="81" t="str">
        <x:v>docs/02_Architecture_Decision_Records/ADR-006_Plugin_Detection/ADR-006_Plugin_Detection_RU_v3_0_Full_Content_Audited_Complete.docx</x:v>
      </x:c>
      <x:c r="M100" s="83" t="n">
        <x:v>0</x:v>
      </x:c>
    </x:row>
    <x:row r="101" ht="21.600000381469727" hidden="0" customHeight="1">
      <x:c r="A101" s="80" t="str">
        <x:v>docs/02_Architecture_Decision_Records/ADR-007_Multi_Game_Support/ADR-007_Multi_Game_Support_DE_v2_0_Architecture_Audited_Complete.docx</x:v>
      </x:c>
      <x:c r="B101" s="80" t="str">
        <x:v>docx</x:v>
      </x:c>
      <x:c r="C101" s="80" t="str">
        <x:v>ADR-007</x:v>
      </x:c>
      <x:c r="D101" s="80" t="str">
        <x:v>DE</x:v>
      </x:c>
      <x:c r="E101" s="80" t="str">
        <x:v>Normative source</x:v>
      </x:c>
      <x:c r="F101" s="82" t="n">
        <x:v>1</x:v>
      </x:c>
      <x:c r="G101" s="80" t="str">
        <x:v>ADR-007_Multi_Game_Support_DE_v3_0_Full_Content_Audited_Complete.docx</x:v>
      </x:c>
      <x:c r="H101" s="80" t="str">
        <x:v>Active source</x:v>
      </x:c>
      <x:c r="I101" s="82" t="n">
        <x:v>42819</x:v>
      </x:c>
      <x:c r="J101" s="80" t="str">
        <x:v>7e4fb3dcf9dc9eea084deb2ee6f98747a608572e0005ba104bdb7dac30192bf5</x:v>
      </x:c>
      <x:c r="K101" s="80" t="str">
        <x:v>Covered</x:v>
      </x:c>
      <x:c r="L101" s="80" t="str">
        <x:v>docs/02_Architecture_Decision_Records/ADR-007_Multi_Game_Support/ADR-007_Multi_Game_Support_DE_v3_0_Full_Content_Audited_Complete.docx</x:v>
      </x:c>
      <x:c r="M101" s="82" t="n">
        <x:v>0</x:v>
      </x:c>
    </x:row>
    <x:row r="102" ht="21.600000381469727" hidden="0" customHeight="1">
      <x:c r="A102" s="81" t="str">
        <x:v>docs/02_Architecture_Decision_Records/ADR-007_Multi_Game_Support/ADR-007_Multi_Game_Support_RU_v2_0_Architecture_Audited_Complete.docx</x:v>
      </x:c>
      <x:c r="B102" s="81" t="str">
        <x:v>docx</x:v>
      </x:c>
      <x:c r="C102" s="81" t="str">
        <x:v>ADR-007</x:v>
      </x:c>
      <x:c r="D102" s="81" t="str">
        <x:v>RU</x:v>
      </x:c>
      <x:c r="E102" s="81" t="str">
        <x:v>Normative source</x:v>
      </x:c>
      <x:c r="F102" s="83" t="n">
        <x:v>1</x:v>
      </x:c>
      <x:c r="G102" s="81" t="str">
        <x:v>ADR-007_Multi_Game_Support_RU_v3_0_Full_Content_Audited_Complete.docx</x:v>
      </x:c>
      <x:c r="H102" s="81" t="str">
        <x:v>Active source</x:v>
      </x:c>
      <x:c r="I102" s="83" t="n">
        <x:v>43372</x:v>
      </x:c>
      <x:c r="J102" s="81" t="str">
        <x:v>28eb8ee9e02d4bac44a1fab8eab7e28b2feed458a9a4892a6e308dae9c7da72f</x:v>
      </x:c>
      <x:c r="K102" s="81" t="str">
        <x:v>Covered</x:v>
      </x:c>
      <x:c r="L102" s="81" t="str">
        <x:v>docs/02_Architecture_Decision_Records/ADR-007_Multi_Game_Support/ADR-007_Multi_Game_Support_RU_v3_0_Full_Content_Audited_Complete.docx</x:v>
      </x:c>
      <x:c r="M102" s="83" t="n">
        <x:v>0</x:v>
      </x:c>
    </x:row>
    <x:row r="103" ht="21.600000381469727" hidden="0" customHeight="1">
      <x:c r="A103" s="80" t="str">
        <x:v>docs/02_Architecture_Decision_Records/ADR-008_Dependency_Semantics_Contract_Ownership/ADR-008_Dependency_Semantics_Contract_Ownership_DE_v1_0_Proposed_Audited.docx</x:v>
      </x:c>
      <x:c r="B103" s="80" t="str">
        <x:v>docx</x:v>
      </x:c>
      <x:c r="C103" s="80" t="str">
        <x:v>ADR-008</x:v>
      </x:c>
      <x:c r="D103" s="80" t="str">
        <x:v>DE</x:v>
      </x:c>
      <x:c r="E103" s="80" t="str">
        <x:v>Normative source</x:v>
      </x:c>
      <x:c r="F103" s="82" t="n">
        <x:v>1</x:v>
      </x:c>
      <x:c r="G103" s="80" t="str">
        <x:v>ADR-008_Dependency_Semantics_Contract_Ownership_DE_v2_0_Full_Content_Audited_Complete.docx</x:v>
      </x:c>
      <x:c r="H103" s="80" t="str">
        <x:v>Active source</x:v>
      </x:c>
      <x:c r="I103" s="82" t="n">
        <x:v>41904</x:v>
      </x:c>
      <x:c r="J103" s="80" t="str">
        <x:v>597e65b8953cd3d8561a32a4c20d5d86bfafd98a8b2d18a9c166352dd48c0b7c</x:v>
      </x:c>
      <x:c r="K103" s="80" t="str">
        <x:v>Covered</x:v>
      </x:c>
      <x:c r="L103" s="80" t="str">
        <x:v>docs/02_Architecture_Decision_Records/ADR-008_Dependency_Semantics_Contract_Ownership/ADR-008_Dependency_Semantics_Contract_Ownership_DE_v2_0_Full_Content_Audited_Complete.docx</x:v>
      </x:c>
      <x:c r="M103" s="82" t="n">
        <x:v>0</x:v>
      </x:c>
    </x:row>
    <x:row r="104" ht="21.600000381469727" hidden="0" customHeight="1">
      <x:c r="A104" s="81" t="str">
        <x:v>docs/02_Architecture_Decision_Records/ADR-008_Dependency_Semantics_Contract_Ownership/ADR-008_Dependency_Semantics_Contract_Ownership_RU_v1_0_Proposed_Audited.docx</x:v>
      </x:c>
      <x:c r="B104" s="81" t="str">
        <x:v>docx</x:v>
      </x:c>
      <x:c r="C104" s="81" t="str">
        <x:v>ADR-008</x:v>
      </x:c>
      <x:c r="D104" s="81" t="str">
        <x:v>RU</x:v>
      </x:c>
      <x:c r="E104" s="81" t="str">
        <x:v>Normative source</x:v>
      </x:c>
      <x:c r="F104" s="83" t="n">
        <x:v>1</x:v>
      </x:c>
      <x:c r="G104" s="81" t="str">
        <x:v>ADR-008_Dependency_Semantics_Contract_Ownership_RU_v2_0_Full_Content_Audited_Complete.docx</x:v>
      </x:c>
      <x:c r="H104" s="81" t="str">
        <x:v>Active source</x:v>
      </x:c>
      <x:c r="I104" s="83" t="n">
        <x:v>42315</x:v>
      </x:c>
      <x:c r="J104" s="81" t="str">
        <x:v>6dd3446ada6eac405424c5edbfbf7dcbede196fcebbee392971875c5990b0eab</x:v>
      </x:c>
      <x:c r="K104" s="81" t="str">
        <x:v>Covered</x:v>
      </x:c>
      <x:c r="L104" s="81" t="str">
        <x:v>docs/02_Architecture_Decision_Records/ADR-008_Dependency_Semantics_Contract_Ownership/ADR-008_Dependency_Semantics_Contract_Ownership_RU_v2_0_Full_Content_Audited_Complete.docx</x:v>
      </x:c>
      <x:c r="M104" s="83" t="n">
        <x:v>0</x:v>
      </x:c>
    </x:row>
    <x:row r="105" ht="21.600000381469727" hidden="0" customHeight="1">
      <x:c r="A105" s="80" t="str">
        <x:v>docs/03_Modules/MOD-001_Core/AUDIT-017_MOD-001_v1_2_Source_Conformance.md</x:v>
      </x:c>
      <x:c r="B105" s="80" t="str">
        <x:v>md</x:v>
      </x:c>
      <x:c r="C105" s="80" t="str">
        <x:v>MOD-001</x:v>
      </x:c>
      <x:c r="D105" s="80" t="str">
        <x:v>Mixed / technical</x:v>
      </x:c>
      <x:c r="E105" s="80" t="str">
        <x:v>Audit evidence</x:v>
      </x:c>
      <x:c r="F105" s="82" t="n">
        <x:v>2</x:v>
      </x:c>
      <x:c r="G105" s="80" t="str">
        <x:v>MOD-001_Core_DE_v2_0_Full_Content_Audited_Complete.docx
MOD-001_Core_RU_v2_0_Full_Content_Audited_Complete.docx</x:v>
      </x:c>
      <x:c r="H105" s="80" t="str">
        <x:v>Active source</x:v>
      </x:c>
      <x:c r="I105" s="82" t="n">
        <x:v>7054</x:v>
      </x:c>
      <x:c r="J105" s="80" t="str">
        <x:v>dc147cbd5097c61791b2e37cb7d03c031e6fa0bfb5f3310096a9e15784560488</x:v>
      </x:c>
      <x:c r="K105" s="80" t="str">
        <x:v>Covered</x:v>
      </x:c>
      <x:c r="L105" s="80" t="str">
        <x:v>docs/03_Modules/MOD-001_Core/MOD-001_Core_DE_v2_0_Full_Content_Audited_Complete.docx
docs/03_Modules/MOD-001_Core/MOD-001_Core_RU_v2_0_Full_Content_Audited_Complete.docx</x:v>
      </x:c>
      <x:c r="M105" s="82" t="n">
        <x:v>0</x:v>
      </x:c>
    </x:row>
    <x:row r="106" ht="21.600000381469727" hidden="0" customHeight="1">
      <x:c r="A106" s="81" t="str">
        <x:v>docs/03_Modules/MOD-001_Core/AUDIT-018_MOD-001_v1_2_Final_Corrections_Freeze.md</x:v>
      </x:c>
      <x:c r="B106" s="81" t="str">
        <x:v>md</x:v>
      </x:c>
      <x:c r="C106" s="81" t="str">
        <x:v>MOD-001</x:v>
      </x:c>
      <x:c r="D106" s="81" t="str">
        <x:v>Mixed / technical</x:v>
      </x:c>
      <x:c r="E106" s="81" t="str">
        <x:v>Audit evidence</x:v>
      </x:c>
      <x:c r="F106" s="83" t="n">
        <x:v>2</x:v>
      </x:c>
      <x:c r="G106" s="81" t="str">
        <x:v>MOD-001_Core_DE_v2_0_Full_Content_Audited_Complete.docx
MOD-001_Core_RU_v2_0_Full_Content_Audited_Complete.docx</x:v>
      </x:c>
      <x:c r="H106" s="81" t="str">
        <x:v>Active source</x:v>
      </x:c>
      <x:c r="I106" s="83" t="n">
        <x:v>10180</x:v>
      </x:c>
      <x:c r="J106" s="81" t="str">
        <x:v>0476d194a815ceb40d49cdae30147cbac803d50f2fc6f5ee1645b25c313ae70d</x:v>
      </x:c>
      <x:c r="K106" s="81" t="str">
        <x:v>Covered</x:v>
      </x:c>
      <x:c r="L106" s="81" t="str">
        <x:v>docs/03_Modules/MOD-001_Core/MOD-001_Core_DE_v2_0_Full_Content_Audited_Complete.docx
docs/03_Modules/MOD-001_Core/MOD-001_Core_RU_v2_0_Full_Content_Audited_Complete.docx</x:v>
      </x:c>
      <x:c r="M106" s="83" t="n">
        <x:v>0</x:v>
      </x:c>
    </x:row>
    <x:row r="107" ht="21.600000381469727" hidden="0" customHeight="1">
      <x:c r="A107" s="80" t="str">
        <x:v>docs/03_Modules/MOD-001_Core/AUDIT-021_MOD-001_v1_2_Final_Artifact_QA.md</x:v>
      </x:c>
      <x:c r="B107" s="80" t="str">
        <x:v>md</x:v>
      </x:c>
      <x:c r="C107" s="80" t="str">
        <x:v>MOD-001</x:v>
      </x:c>
      <x:c r="D107" s="80" t="str">
        <x:v>Mixed / technical</x:v>
      </x:c>
      <x:c r="E107" s="80" t="str">
        <x:v>Audit evidence</x:v>
      </x:c>
      <x:c r="F107" s="82" t="n">
        <x:v>2</x:v>
      </x:c>
      <x:c r="G107" s="80" t="str">
        <x:v>MOD-001_Core_DE_v2_0_Full_Content_Audited_Complete.docx
MOD-001_Core_RU_v2_0_Full_Content_Audited_Complete.docx</x:v>
      </x:c>
      <x:c r="H107" s="80" t="str">
        <x:v>Active source</x:v>
      </x:c>
      <x:c r="I107" s="82" t="n">
        <x:v>5808</x:v>
      </x:c>
      <x:c r="J107" s="80" t="str">
        <x:v>c4759c55469a49e4fc20e695a664164574d070e8d3e64091599b63dea5bd97c6</x:v>
      </x:c>
      <x:c r="K107" s="80" t="str">
        <x:v>Covered</x:v>
      </x:c>
      <x:c r="L107" s="80" t="str">
        <x:v>docs/03_Modules/MOD-001_Core/MOD-001_Core_DE_v2_0_Full_Content_Audited_Complete.docx
docs/03_Modules/MOD-001_Core/MOD-001_Core_RU_v2_0_Full_Content_Audited_Complete.docx</x:v>
      </x:c>
      <x:c r="M107" s="82" t="n">
        <x:v>0</x:v>
      </x:c>
    </x:row>
    <x:row r="108" ht="21.600000381469727" hidden="0" customHeight="1">
      <x:c r="A108" s="81" t="str">
        <x:v>docs/03_Modules/MOD-001_Core/AUDIT-MOD-001-v1_2_Source_Review.md</x:v>
      </x:c>
      <x:c r="B108" s="81" t="str">
        <x:v>md</x:v>
      </x:c>
      <x:c r="C108" s="81" t="str">
        <x:v>MOD-001</x:v>
      </x:c>
      <x:c r="D108" s="81" t="str">
        <x:v>Mixed / technical</x:v>
      </x:c>
      <x:c r="E108" s="81" t="str">
        <x:v>Audit evidence</x:v>
      </x:c>
      <x:c r="F108" s="83" t="n">
        <x:v>2</x:v>
      </x:c>
      <x:c r="G108" s="81" t="str">
        <x:v>MOD-001_Core_DE_v2_0_Full_Content_Audited_Complete.docx
MOD-001_Core_RU_v2_0_Full_Content_Audited_Complete.docx</x:v>
      </x:c>
      <x:c r="H108" s="81" t="str">
        <x:v>Active source</x:v>
      </x:c>
      <x:c r="I108" s="83" t="n">
        <x:v>9294</x:v>
      </x:c>
      <x:c r="J108" s="81" t="str">
        <x:v>4cab5bb994c10d62e61d2dd15ca10fe96d8c1720d1056e129191e06b6ee48778</x:v>
      </x:c>
      <x:c r="K108" s="81" t="str">
        <x:v>Covered</x:v>
      </x:c>
      <x:c r="L108" s="81" t="str">
        <x:v>docs/03_Modules/MOD-001_Core/MOD-001_Core_DE_v2_0_Full_Content_Audited_Complete.docx
docs/03_Modules/MOD-001_Core/MOD-001_Core_RU_v2_0_Full_Content_Audited_Complete.docx</x:v>
      </x:c>
      <x:c r="M108" s="83" t="n">
        <x:v>0</x:v>
      </x:c>
    </x:row>
    <x:row r="109" ht="21.600000381469727" hidden="0" customHeight="1">
      <x:c r="A109" s="80" t="str">
        <x:v>docs/03_Modules/MOD-001_Core/AUDIT-MOD-001_Post_Architecture_Reaudit.md</x:v>
      </x:c>
      <x:c r="B109" s="80" t="str">
        <x:v>md</x:v>
      </x:c>
      <x:c r="C109" s="80" t="str">
        <x:v>MOD-001</x:v>
      </x:c>
      <x:c r="D109" s="80" t="str">
        <x:v>Mixed / technical</x:v>
      </x:c>
      <x:c r="E109" s="80" t="str">
        <x:v>Audit evidence</x:v>
      </x:c>
      <x:c r="F109" s="82" t="n">
        <x:v>2</x:v>
      </x:c>
      <x:c r="G109" s="80" t="str">
        <x:v>MOD-001_Core_DE_v2_0_Full_Content_Audited_Complete.docx
MOD-001_Core_RU_v2_0_Full_Content_Audited_Complete.docx</x:v>
      </x:c>
      <x:c r="H109" s="80" t="str">
        <x:v>Active source</x:v>
      </x:c>
      <x:c r="I109" s="82" t="n">
        <x:v>13887</x:v>
      </x:c>
      <x:c r="J109" s="80" t="str">
        <x:v>a7026a7a0419331e38a3d784eefa36318536907fe759baadd03a7a61ed057900</x:v>
      </x:c>
      <x:c r="K109" s="80" t="str">
        <x:v>Covered</x:v>
      </x:c>
      <x:c r="L109" s="80" t="str">
        <x:v>docs/03_Modules/MOD-001_Core/MOD-001_Core_DE_v2_0_Full_Content_Audited_Complete.docx
docs/03_Modules/MOD-001_Core/MOD-001_Core_RU_v2_0_Full_Content_Audited_Complete.docx</x:v>
      </x:c>
      <x:c r="M109" s="82" t="n">
        <x:v>0</x:v>
      </x:c>
    </x:row>
    <x:row r="110" ht="21.600000381469727" hidden="0" customHeight="1">
      <x:c r="A110" s="81" t="str">
        <x:v>docs/03_Modules/MOD-001_Core/MOD-001_Core_Architecture_Audited_Source_v1_2.md</x:v>
      </x:c>
      <x:c r="B110" s="81" t="str">
        <x:v>md</x:v>
      </x:c>
      <x:c r="C110" s="81" t="str">
        <x:v>MOD-001</x:v>
      </x:c>
      <x:c r="D110" s="81" t="str">
        <x:v>Mixed / technical</x:v>
      </x:c>
      <x:c r="E110" s="81" t="str">
        <x:v>Audited source</x:v>
      </x:c>
      <x:c r="F110" s="83" t="n">
        <x:v>2</x:v>
      </x:c>
      <x:c r="G110" s="81" t="str">
        <x:v>MOD-001_Core_DE_v2_0_Full_Content_Audited_Complete.docx
MOD-001_Core_RU_v2_0_Full_Content_Audited_Complete.docx</x:v>
      </x:c>
      <x:c r="H110" s="81" t="str">
        <x:v>Active source</x:v>
      </x:c>
      <x:c r="I110" s="83" t="n">
        <x:v>39651</x:v>
      </x:c>
      <x:c r="J110" s="81" t="str">
        <x:v>472ac07b8a15b366ef539f6b728c7cdf319e1f08dff51d55ffe9e9f02f2d1614</x:v>
      </x:c>
      <x:c r="K110" s="81" t="str">
        <x:v>Covered</x:v>
      </x:c>
      <x:c r="L110" s="81" t="str">
        <x:v>docs/03_Modules/MOD-001_Core/MOD-001_Core_DE_v2_0_Full_Content_Audited_Complete.docx
docs/03_Modules/MOD-001_Core/MOD-001_Core_RU_v2_0_Full_Content_Audited_Complete.docx</x:v>
      </x:c>
      <x:c r="M110" s="83" t="n">
        <x:v>0</x:v>
      </x:c>
    </x:row>
    <x:row r="111" ht="15" hidden="0" customHeight="1">
      <x:c r="A111" s="80" t="str">
        <x:v>docs/03_Modules/MOD-001_Core/MOD-001_Core_DE_v1_2_Architecture_Audited_Complete.docx</x:v>
      </x:c>
      <x:c r="B111" s="80" t="str">
        <x:v>docx</x:v>
      </x:c>
      <x:c r="C111" s="80" t="str">
        <x:v>MOD-001</x:v>
      </x:c>
      <x:c r="D111" s="80" t="str">
        <x:v>DE</x:v>
      </x:c>
      <x:c r="E111" s="80" t="str">
        <x:v>Normative source</x:v>
      </x:c>
      <x:c r="F111" s="82" t="n">
        <x:v>1</x:v>
      </x:c>
      <x:c r="G111" s="80" t="str">
        <x:v>MOD-001_Core_DE_v2_0_Full_Content_Audited_Complete.docx</x:v>
      </x:c>
      <x:c r="H111" s="80" t="str">
        <x:v>Active source</x:v>
      </x:c>
      <x:c r="I111" s="82" t="n">
        <x:v>54602</x:v>
      </x:c>
      <x:c r="J111" s="80" t="str">
        <x:v>15edef8b8f093ee43d36a47c1cb1e9175cbddc7e2e7b923287d7c28248f511a4</x:v>
      </x:c>
      <x:c r="K111" s="80" t="str">
        <x:v>Covered</x:v>
      </x:c>
      <x:c r="L111" s="80" t="str">
        <x:v>docs/03_Modules/MOD-001_Core/MOD-001_Core_DE_v2_0_Full_Content_Audited_Complete.docx</x:v>
      </x:c>
      <x:c r="M111" s="82" t="n">
        <x:v>0</x:v>
      </x:c>
    </x:row>
    <x:row r="112" ht="15" hidden="0" customHeight="1">
      <x:c r="A112" s="81" t="str">
        <x:v>docs/03_Modules/MOD-001_Core/MOD-001_Core_RU_v1_2_Architecture_Audited_Complete.docx</x:v>
      </x:c>
      <x:c r="B112" s="81" t="str">
        <x:v>docx</x:v>
      </x:c>
      <x:c r="C112" s="81" t="str">
        <x:v>MOD-001</x:v>
      </x:c>
      <x:c r="D112" s="81" t="str">
        <x:v>RU</x:v>
      </x:c>
      <x:c r="E112" s="81" t="str">
        <x:v>Normative source</x:v>
      </x:c>
      <x:c r="F112" s="83" t="n">
        <x:v>1</x:v>
      </x:c>
      <x:c r="G112" s="81" t="str">
        <x:v>MOD-001_Core_RU_v2_0_Full_Content_Audited_Complete.docx</x:v>
      </x:c>
      <x:c r="H112" s="81" t="str">
        <x:v>Active source</x:v>
      </x:c>
      <x:c r="I112" s="83" t="n">
        <x:v>55931</x:v>
      </x:c>
      <x:c r="J112" s="81" t="str">
        <x:v>ec2b144c2308377e643d39ac97a14e190557146647fc3e942f52ac5b4c12eeda</x:v>
      </x:c>
      <x:c r="K112" s="81" t="str">
        <x:v>Covered</x:v>
      </x:c>
      <x:c r="L112" s="81" t="str">
        <x:v>docs/03_Modules/MOD-001_Core/MOD-001_Core_RU_v2_0_Full_Content_Audited_Complete.docx</x:v>
      </x:c>
      <x:c r="M112" s="83" t="n">
        <x:v>0</x:v>
      </x:c>
    </x:row>
    <x:row r="113" ht="15" hidden="0" customHeight="1">
      <x:c r="A113" s="80" t="str">
        <x:v>docs/99_Archive/00_Project_Management/DOC-003_World_Engine_Roadmap_DE_v2_SUPERSEDED.docx</x:v>
      </x:c>
      <x:c r="B113" s="80" t="str">
        <x:v>docx</x:v>
      </x:c>
      <x:c r="C113" s="80" t="str">
        <x:v>DOC-003</x:v>
      </x:c>
      <x:c r="D113" s="80" t="str">
        <x:v>DE</x:v>
      </x:c>
      <x:c r="E113" s="80" t="str">
        <x:v>Archived document</x:v>
      </x:c>
      <x:c r="F113" s="82" t="n">
        <x:v>1</x:v>
      </x:c>
      <x:c r="G113" s="80" t="str">
        <x:v>DOC-003_Product_Roadmap_DE_v4_0_Full_Content_Audited_Complete.docx</x:v>
      </x:c>
      <x:c r="H113" s="80" t="str">
        <x:v>Archive</x:v>
      </x:c>
      <x:c r="I113" s="82" t="n">
        <x:v>38856</x:v>
      </x:c>
      <x:c r="J113" s="80" t="str">
        <x:v>5d527af0cfebaf1e1633d2ebbdb45249ab2b0750275cf56023397be57f92f450</x:v>
      </x:c>
      <x:c r="K113" s="80" t="str">
        <x:v>Covered</x:v>
      </x:c>
      <x:c r="L113" s="80" t="str">
        <x:v>docs/00_Project_Management/DOC-003_Product_Roadmap_DE_v4_0_Full_Content_Audited_Complete.docx</x:v>
      </x:c>
      <x:c r="M113" s="82" t="n">
        <x:v>0</x:v>
      </x:c>
    </x:row>
    <x:row r="114" ht="15" hidden="0" customHeight="1">
      <x:c r="A114" s="81" t="str">
        <x:v>docs/99_Archive/00_Project_Management/DOC-003_World_Engine_Roadmap_RU_v2_SUPERSEDED.docx</x:v>
      </x:c>
      <x:c r="B114" s="81" t="str">
        <x:v>docx</x:v>
      </x:c>
      <x:c r="C114" s="81" t="str">
        <x:v>DOC-003</x:v>
      </x:c>
      <x:c r="D114" s="81" t="str">
        <x:v>RU</x:v>
      </x:c>
      <x:c r="E114" s="81" t="str">
        <x:v>Archived document</x:v>
      </x:c>
      <x:c r="F114" s="83" t="n">
        <x:v>1</x:v>
      </x:c>
      <x:c r="G114" s="81" t="str">
        <x:v>DOC-003_Product_Roadmap_RU_v4_0_Full_Content_Audited_Complete.docx</x:v>
      </x:c>
      <x:c r="H114" s="81" t="str">
        <x:v>Archive</x:v>
      </x:c>
      <x:c r="I114" s="83" t="n">
        <x:v>39289</x:v>
      </x:c>
      <x:c r="J114" s="81" t="str">
        <x:v>91fbd9d0967f71e7d8f9fc1638002d85407bb19d81be08e12698b3574951dd25</x:v>
      </x:c>
      <x:c r="K114" s="81" t="str">
        <x:v>Covered</x:v>
      </x:c>
      <x:c r="L114" s="81" t="str">
        <x:v>docs/00_Project_Management/DOC-003_Product_Roadmap_RU_v4_0_Full_Content_Audited_Complete.docx</x:v>
      </x:c>
      <x:c r="M114" s="83" t="n">
        <x:v>0</x:v>
      </x:c>
    </x:row>
    <x:row r="115" ht="21.600000381469727" hidden="0" customHeight="1">
      <x:c r="A115" s="80" t="str">
        <x:v>docs/99_Archive/01_Architecture/ARCH-001_Overall_System_Architecture/ARCH-001_World_Engine_Overall_System_Architecture_DE_v1.docx</x:v>
      </x:c>
      <x:c r="B115" s="80" t="str">
        <x:v>docx</x:v>
      </x:c>
      <x:c r="C115" s="80" t="str">
        <x:v>ARCH-001</x:v>
      </x:c>
      <x:c r="D115" s="80" t="str">
        <x:v>DE</x:v>
      </x:c>
      <x:c r="E115" s="80" t="str">
        <x:v>Archived document</x:v>
      </x:c>
      <x:c r="F115" s="82" t="n">
        <x:v>1</x:v>
      </x:c>
      <x:c r="G115" s="80" t="str">
        <x:v>ARCH-001_Overall_System_Architecture_DE_v2_0_Full_Content_Audited_Complete.docx</x:v>
      </x:c>
      <x:c r="H115" s="80" t="str">
        <x:v>Archive</x:v>
      </x:c>
      <x:c r="I115" s="82" t="n">
        <x:v>39179</x:v>
      </x:c>
      <x:c r="J115" s="80" t="str">
        <x:v>6d5a6b8975a2b64c927afe9b6c3e73bd1dc97ccf5bf7da40844e5ea3f3371520</x:v>
      </x:c>
      <x:c r="K115" s="80" t="str">
        <x:v>Covered</x:v>
      </x:c>
      <x:c r="L115" s="80" t="str">
        <x:v>docs/01_Architecture/ARCH-001_Overall_System_Architecture/ARCH-001_Overall_System_Architecture_DE_v2_0_Full_Content_Audited_Complete.docx</x:v>
      </x:c>
      <x:c r="M115" s="82" t="n">
        <x:v>0</x:v>
      </x:c>
    </x:row>
    <x:row r="116" ht="21.600000381469727" hidden="0" customHeight="1">
      <x:c r="A116" s="81" t="str">
        <x:v>docs/99_Archive/01_Architecture/ARCH-001_Overall_System_Architecture/ARCH-001_World_Engine_Overall_System_Architecture_RU_v1.docx</x:v>
      </x:c>
      <x:c r="B116" s="81" t="str">
        <x:v>docx</x:v>
      </x:c>
      <x:c r="C116" s="81" t="str">
        <x:v>ARCH-001</x:v>
      </x:c>
      <x:c r="D116" s="81" t="str">
        <x:v>RU</x:v>
      </x:c>
      <x:c r="E116" s="81" t="str">
        <x:v>Archived document</x:v>
      </x:c>
      <x:c r="F116" s="83" t="n">
        <x:v>1</x:v>
      </x:c>
      <x:c r="G116" s="81" t="str">
        <x:v>ARCH-001_Overall_System_Architecture_RU_v2_0_Full_Content_Audited_Complete.docx</x:v>
      </x:c>
      <x:c r="H116" s="81" t="str">
        <x:v>Archive</x:v>
      </x:c>
      <x:c r="I116" s="83" t="n">
        <x:v>39687</x:v>
      </x:c>
      <x:c r="J116" s="81" t="str">
        <x:v>aaa9787f333b0500065b40bfed8aae757832d11488c9b9f576780b1a6ef2a385</x:v>
      </x:c>
      <x:c r="K116" s="81" t="str">
        <x:v>Covered</x:v>
      </x:c>
      <x:c r="L116" s="81" t="str">
        <x:v>docs/01_Architecture/ARCH-001_Overall_System_Architecture/ARCH-001_Overall_System_Architecture_RU_v2_0_Full_Content_Audited_Complete.docx</x:v>
      </x:c>
      <x:c r="M116" s="83" t="n">
        <x:v>0</x:v>
      </x:c>
    </x:row>
    <x:row r="117" ht="21.600000381469727" hidden="0" customHeight="1">
      <x:c r="A117" s="80" t="str">
        <x:v>docs/99_Archive/01_Architecture/ARCH-002_Module_Architecture/ARCH-002_World_Engine_Module_Architecture_DE_v1.docx</x:v>
      </x:c>
      <x:c r="B117" s="80" t="str">
        <x:v>docx</x:v>
      </x:c>
      <x:c r="C117" s="80" t="str">
        <x:v>ARCH-002</x:v>
      </x:c>
      <x:c r="D117" s="80" t="str">
        <x:v>DE</x:v>
      </x:c>
      <x:c r="E117" s="80" t="str">
        <x:v>Archived document</x:v>
      </x:c>
      <x:c r="F117" s="82" t="n">
        <x:v>1</x:v>
      </x:c>
      <x:c r="G117" s="80" t="str">
        <x:v>ARCH-002_Module_Architecture_DE_v2_0_Full_Content_Audited_Complete.docx</x:v>
      </x:c>
      <x:c r="H117" s="80" t="str">
        <x:v>Archive</x:v>
      </x:c>
      <x:c r="I117" s="82" t="n">
        <x:v>40511</x:v>
      </x:c>
      <x:c r="J117" s="80" t="str">
        <x:v>d6b16d6cc442dc4983348ad525fc0db2c2cc8242d93c024231e71d1eab77f878</x:v>
      </x:c>
      <x:c r="K117" s="80" t="str">
        <x:v>Covered</x:v>
      </x:c>
      <x:c r="L117" s="80" t="str">
        <x:v>docs/01_Architecture/ARCH-002_Module_Architecture/ARCH-002_Module_Architecture_DE_v2_0_Full_Content_Audited_Complete.docx</x:v>
      </x:c>
      <x:c r="M117" s="82" t="n">
        <x:v>0</x:v>
      </x:c>
    </x:row>
    <x:row r="118" ht="21.600000381469727" hidden="0" customHeight="1">
      <x:c r="A118" s="81" t="str">
        <x:v>docs/99_Archive/01_Architecture/ARCH-002_Module_Architecture/ARCH-002_World_Engine_Module_Architecture_RU_v1.docx</x:v>
      </x:c>
      <x:c r="B118" s="81" t="str">
        <x:v>docx</x:v>
      </x:c>
      <x:c r="C118" s="81" t="str">
        <x:v>ARCH-002</x:v>
      </x:c>
      <x:c r="D118" s="81" t="str">
        <x:v>RU</x:v>
      </x:c>
      <x:c r="E118" s="81" t="str">
        <x:v>Archived document</x:v>
      </x:c>
      <x:c r="F118" s="83" t="n">
        <x:v>1</x:v>
      </x:c>
      <x:c r="G118" s="81" t="str">
        <x:v>ARCH-002_Module_Architecture_RU_v2_0_Full_Content_Audited_Complete.docx</x:v>
      </x:c>
      <x:c r="H118" s="81" t="str">
        <x:v>Archive</x:v>
      </x:c>
      <x:c r="I118" s="83" t="n">
        <x:v>41094</x:v>
      </x:c>
      <x:c r="J118" s="81" t="str">
        <x:v>fc061dd6cdf15eeb0587e723a9104c7de369c3f1b4ea5269fa4b9d40657e208f</x:v>
      </x:c>
      <x:c r="K118" s="81" t="str">
        <x:v>Covered</x:v>
      </x:c>
      <x:c r="L118" s="81" t="str">
        <x:v>docs/01_Architecture/ARCH-002_Module_Architecture/ARCH-002_Module_Architecture_RU_v2_0_Full_Content_Audited_Complete.docx</x:v>
      </x:c>
      <x:c r="M118" s="83" t="n">
        <x:v>0</x:v>
      </x:c>
    </x:row>
    <x:row r="119" ht="15" hidden="0" customHeight="1">
      <x:c r="A119" s="80" t="str">
        <x:v>docs/99_Archive/01_Architecture/ARCH-003_Data_Flow/ARCH-003_World_Engine_Data_Flow_DE_v1.docx</x:v>
      </x:c>
      <x:c r="B119" s="80" t="str">
        <x:v>docx</x:v>
      </x:c>
      <x:c r="C119" s="80" t="str">
        <x:v>ARCH-003</x:v>
      </x:c>
      <x:c r="D119" s="80" t="str">
        <x:v>DE</x:v>
      </x:c>
      <x:c r="E119" s="80" t="str">
        <x:v>Archived document</x:v>
      </x:c>
      <x:c r="F119" s="82" t="n">
        <x:v>1</x:v>
      </x:c>
      <x:c r="G119" s="80" t="str">
        <x:v>ARCH-003_Data_Flow_DE_v2_0_Full_Content_Audited_Complete.docx</x:v>
      </x:c>
      <x:c r="H119" s="80" t="str">
        <x:v>Archive</x:v>
      </x:c>
      <x:c r="I119" s="82" t="n">
        <x:v>40945</x:v>
      </x:c>
      <x:c r="J119" s="80" t="str">
        <x:v>de3c92b07575fd3b99f7a123a5e53e2291214a3ebe6415be45baf05c12baa773</x:v>
      </x:c>
      <x:c r="K119" s="80" t="str">
        <x:v>Covered</x:v>
      </x:c>
      <x:c r="L119" s="80" t="str">
        <x:v>docs/01_Architecture/ARCH-003_Data_Flow/ARCH-003_Data_Flow_DE_v2_0_Full_Content_Audited_Complete.docx</x:v>
      </x:c>
      <x:c r="M119" s="82" t="n">
        <x:v>0</x:v>
      </x:c>
    </x:row>
    <x:row r="120" ht="15" hidden="0" customHeight="1">
      <x:c r="A120" s="81" t="str">
        <x:v>docs/99_Archive/01_Architecture/ARCH-003_Data_Flow/ARCH-003_World_Engine_Data_Flow_RU_v1.docx</x:v>
      </x:c>
      <x:c r="B120" s="81" t="str">
        <x:v>docx</x:v>
      </x:c>
      <x:c r="C120" s="81" t="str">
        <x:v>ARCH-003</x:v>
      </x:c>
      <x:c r="D120" s="81" t="str">
        <x:v>RU</x:v>
      </x:c>
      <x:c r="E120" s="81" t="str">
        <x:v>Archived document</x:v>
      </x:c>
      <x:c r="F120" s="83" t="n">
        <x:v>1</x:v>
      </x:c>
      <x:c r="G120" s="81" t="str">
        <x:v>ARCH-003_Data_Flow_RU_v2_0_Full_Content_Audited_Complete.docx</x:v>
      </x:c>
      <x:c r="H120" s="81" t="str">
        <x:v>Archive</x:v>
      </x:c>
      <x:c r="I120" s="83" t="n">
        <x:v>41805</x:v>
      </x:c>
      <x:c r="J120" s="81" t="str">
        <x:v>f4f7ae144dbbe45dec8a6bb4bdf47f8330e50784dc217990027fbe44469d5853</x:v>
      </x:c>
      <x:c r="K120" s="81" t="str">
        <x:v>Covered</x:v>
      </x:c>
      <x:c r="L120" s="81" t="str">
        <x:v>docs/01_Architecture/ARCH-003_Data_Flow/ARCH-003_Data_Flow_RU_v2_0_Full_Content_Audited_Complete.docx</x:v>
      </x:c>
      <x:c r="M120" s="83" t="n">
        <x:v>0</x:v>
      </x:c>
    </x:row>
    <x:row r="121" ht="21.600000381469727" hidden="0" customHeight="1">
      <x:c r="A121" s="80" t="str">
        <x:v>docs/99_Archive/01_Architecture/ARCH-004_Architecture_Principles_and_Dependency_Rules/ARCH-004_World_Engine_Architecture_Principles_and_Dependency_Rules_DE_v1.docx</x:v>
      </x:c>
      <x:c r="B121" s="80" t="str">
        <x:v>docx</x:v>
      </x:c>
      <x:c r="C121" s="80" t="str">
        <x:v>ARCH-004</x:v>
      </x:c>
      <x:c r="D121" s="80" t="str">
        <x:v>DE</x:v>
      </x:c>
      <x:c r="E121" s="80" t="str">
        <x:v>Archived document</x:v>
      </x:c>
      <x:c r="F121" s="82" t="n">
        <x:v>1</x:v>
      </x:c>
      <x:c r="G121" s="80" t="str">
        <x:v>ARCH-004_Architecture_Principles_and_Dependency_Rules_DE_v2_0_Full_Content_Audited_Complete.docx</x:v>
      </x:c>
      <x:c r="H121" s="80" t="str">
        <x:v>Archive</x:v>
      </x:c>
      <x:c r="I121" s="82" t="n">
        <x:v>40433</x:v>
      </x:c>
      <x:c r="J121" s="80" t="str">
        <x:v>1044a204083234f9a257d84cbbaf473d22a2d493b2d9e585df9647cf212f78be</x:v>
      </x:c>
      <x:c r="K121" s="80" t="str">
        <x:v>Covered</x:v>
      </x:c>
      <x:c r="L121" s="80" t="str">
        <x:v>docs/01_Architecture/ARCH-004_Architecture_Principles_and_Dependency_Rules/ARCH-004_Architecture_Principles_and_Dependency_Rules_DE_v2_0_Full_Content_Audited_Complete.docx</x:v>
      </x:c>
      <x:c r="M121" s="82" t="n">
        <x:v>0</x:v>
      </x:c>
    </x:row>
    <x:row r="122" ht="21.600000381469727" hidden="0" customHeight="1">
      <x:c r="A122" s="81" t="str">
        <x:v>docs/99_Archive/01_Architecture/ARCH-004_Architecture_Principles_and_Dependency_Rules/ARCH-004_World_Engine_Architecture_Principles_and_Dependency_Rules_RU_v1.docx</x:v>
      </x:c>
      <x:c r="B122" s="81" t="str">
        <x:v>docx</x:v>
      </x:c>
      <x:c r="C122" s="81" t="str">
        <x:v>ARCH-004</x:v>
      </x:c>
      <x:c r="D122" s="81" t="str">
        <x:v>RU</x:v>
      </x:c>
      <x:c r="E122" s="81" t="str">
        <x:v>Archived document</x:v>
      </x:c>
      <x:c r="F122" s="83" t="n">
        <x:v>1</x:v>
      </x:c>
      <x:c r="G122" s="81" t="str">
        <x:v>ARCH-004_Architecture_Principles_and_Dependency_Rules_RU_v2_0_Full_Content_Audited_Complete.docx</x:v>
      </x:c>
      <x:c r="H122" s="81" t="str">
        <x:v>Archive</x:v>
      </x:c>
      <x:c r="I122" s="83" t="n">
        <x:v>40959</x:v>
      </x:c>
      <x:c r="J122" s="81" t="str">
        <x:v>1eb3aa5af0def28a2c09922843946321d95bb91d0ee830295099fb32c68c9c85</x:v>
      </x:c>
      <x:c r="K122" s="81" t="str">
        <x:v>Covered</x:v>
      </x:c>
      <x:c r="L122" s="81" t="str">
        <x:v>docs/01_Architecture/ARCH-004_Architecture_Principles_and_Dependency_Rules/ARCH-004_Architecture_Principles_and_Dependency_Rules_RU_v2_0_Full_Content_Audited_Complete.docx</x:v>
      </x:c>
      <x:c r="M122" s="83" t="n">
        <x:v>0</x:v>
      </x:c>
    </x:row>
    <x:row r="123" ht="21.600000381469727" hidden="0" customHeight="1">
      <x:c r="A123" s="80" t="str">
        <x:v>docs/99_Archive/01_Architecture/ARCH-005_Module_Dependencies/ARCH-005_World_Engine_Module_Dependencies_DE_v1.docx</x:v>
      </x:c>
      <x:c r="B123" s="80" t="str">
        <x:v>docx</x:v>
      </x:c>
      <x:c r="C123" s="80" t="str">
        <x:v>ARCH-005</x:v>
      </x:c>
      <x:c r="D123" s="80" t="str">
        <x:v>DE</x:v>
      </x:c>
      <x:c r="E123" s="80" t="str">
        <x:v>Archived document</x:v>
      </x:c>
      <x:c r="F123" s="82" t="n">
        <x:v>1</x:v>
      </x:c>
      <x:c r="G123" s="80" t="str">
        <x:v>ARCH-005_Module_Dependencies_DE_v2_0_Full_Content_Audited_Complete.docx</x:v>
      </x:c>
      <x:c r="H123" s="80" t="str">
        <x:v>Archive</x:v>
      </x:c>
      <x:c r="I123" s="82" t="n">
        <x:v>41359</x:v>
      </x:c>
      <x:c r="J123" s="80" t="str">
        <x:v>c554951be5a8788841299af9745881ab76cdc77fa61562ab743c3a61b5d8518d</x:v>
      </x:c>
      <x:c r="K123" s="80" t="str">
        <x:v>Covered</x:v>
      </x:c>
      <x:c r="L123" s="80" t="str">
        <x:v>docs/01_Architecture/ARCH-005_Module_Dependencies/ARCH-005_Module_Dependencies_DE_v2_0_Full_Content_Audited_Complete.docx</x:v>
      </x:c>
      <x:c r="M123" s="82" t="n">
        <x:v>0</x:v>
      </x:c>
    </x:row>
    <x:row r="124" ht="21.600000381469727" hidden="0" customHeight="1">
      <x:c r="A124" s="81" t="str">
        <x:v>docs/99_Archive/01_Architecture/ARCH-005_Module_Dependencies/ARCH-005_World_Engine_Module_Dependencies_RU_v1.docx</x:v>
      </x:c>
      <x:c r="B124" s="81" t="str">
        <x:v>docx</x:v>
      </x:c>
      <x:c r="C124" s="81" t="str">
        <x:v>ARCH-005</x:v>
      </x:c>
      <x:c r="D124" s="81" t="str">
        <x:v>RU</x:v>
      </x:c>
      <x:c r="E124" s="81" t="str">
        <x:v>Archived document</x:v>
      </x:c>
      <x:c r="F124" s="83" t="n">
        <x:v>1</x:v>
      </x:c>
      <x:c r="G124" s="81" t="str">
        <x:v>ARCH-005_Module_Dependencies_RU_v2_0_Full_Content_Audited_Complete.docx</x:v>
      </x:c>
      <x:c r="H124" s="81" t="str">
        <x:v>Archive</x:v>
      </x:c>
      <x:c r="I124" s="83" t="n">
        <x:v>42143</x:v>
      </x:c>
      <x:c r="J124" s="81" t="str">
        <x:v>33023e2f6c37fccb5e68f359f76246400af3c62a0d4f26469a3c151930c966cc</x:v>
      </x:c>
      <x:c r="K124" s="81" t="str">
        <x:v>Covered</x:v>
      </x:c>
      <x:c r="L124" s="81" t="str">
        <x:v>docs/01_Architecture/ARCH-005_Module_Dependencies/ARCH-005_Module_Dependencies_RU_v2_0_Full_Content_Audited_Complete.docx</x:v>
      </x:c>
      <x:c r="M124" s="83" t="n">
        <x:v>0</x:v>
      </x:c>
    </x:row>
    <x:row r="125" ht="43.20000076293945" hidden="0" customHeight="1">
      <x:c r="A125" s="80" t="str">
        <x:v>docs/99_Archive/01_Architecture/ARCH-006_Component_Diagram/ARCH-006_Component_Diagram_Audited_Source_v1_1.md</x:v>
      </x:c>
      <x:c r="B125" s="80" t="str">
        <x:v>md</x:v>
      </x:c>
      <x:c r="C125" s="80" t="str">
        <x:v>ARCH-006</x:v>
      </x:c>
      <x:c r="D125" s="80" t="str">
        <x:v>Mixed / technical</x:v>
      </x:c>
      <x:c r="E125" s="80" t="str">
        <x:v>Audited source</x:v>
      </x:c>
      <x:c r="F125" s="82" t="n">
        <x:v>2</x:v>
      </x:c>
      <x:c r="G125" s="80" t="str">
        <x:v>ARCH-006_Component_Diagram_DE_v2_0_Full_Content_Audited_Complete.docx
ARCH-006_Component_Diagram_RU_v2_0_Full_Content_Audited_Complete.docx</x:v>
      </x:c>
      <x:c r="H125" s="80" t="str">
        <x:v>Archive</x:v>
      </x:c>
      <x:c r="I125" s="82" t="n">
        <x:v>5950</x:v>
      </x:c>
      <x:c r="J125" s="80" t="str">
        <x:v>3e1af62d0cc3e52da34f9d458f828714e8c1348502f235255f1b19194ecd18ed</x:v>
      </x:c>
      <x:c r="K125" s="80" t="str">
        <x:v>Covered</x:v>
      </x:c>
      <x:c r="L125" s="80" t="str">
        <x:v>docs/01_Architecture/ARCH-006_Component_Diagram/ARCH-006_Component_Diagram_DE_v2_0_Full_Content_Audited_Complete.docx
docs/01_Architecture/ARCH-006_Component_Diagram/ARCH-006_Component_Diagram_RU_v2_0_Full_Content_Audited_Complete.docx</x:v>
      </x:c>
      <x:c r="M125" s="82" t="n">
        <x:v>0</x:v>
      </x:c>
    </x:row>
    <x:row r="126" ht="43.20000076293945" hidden="0" customHeight="1">
      <x:c r="A126" s="81" t="str">
        <x:v>docs/99_Archive/01_Architecture/ARCH-006_Component_Diagram/ARCH-006_World_Engine_Component_Diagram_v1_0.jpg</x:v>
      </x:c>
      <x:c r="B126" s="81" t="str">
        <x:v>jpg</x:v>
      </x:c>
      <x:c r="C126" s="81" t="str">
        <x:v>ARCH-006</x:v>
      </x:c>
      <x:c r="D126" s="81" t="str">
        <x:v>Language-neutral</x:v>
      </x:c>
      <x:c r="E126" s="81" t="str">
        <x:v>Diagram or image source</x:v>
      </x:c>
      <x:c r="F126" s="83" t="n">
        <x:v>2</x:v>
      </x:c>
      <x:c r="G126" s="81" t="str">
        <x:v>ARCH-006_Component_Diagram_DE_v2_0_Full_Content_Audited_Complete.docx
ARCH-006_Component_Diagram_RU_v2_0_Full_Content_Audited_Complete.docx</x:v>
      </x:c>
      <x:c r="H126" s="81" t="str">
        <x:v>Archive</x:v>
      </x:c>
      <x:c r="I126" s="83" t="n">
        <x:v>337517</x:v>
      </x:c>
      <x:c r="J126" s="81" t="str">
        <x:v>aa8535efa6d4934deeb3de76c5093c1e3b068fa573ae1e43dc3437fa47921efb</x:v>
      </x:c>
      <x:c r="K126" s="81" t="str">
        <x:v>Covered</x:v>
      </x:c>
      <x:c r="L126" s="81" t="str">
        <x:v>docs/01_Architecture/ARCH-006_Component_Diagram/ARCH-006_Component_Diagram_DE_v2_0_Full_Content_Audited_Complete.docx
docs/01_Architecture/ARCH-006_Component_Diagram/ARCH-006_Component_Diagram_RU_v2_0_Full_Content_Audited_Complete.docx</x:v>
      </x:c>
      <x:c r="M126" s="83" t="n">
        <x:v>0</x:v>
      </x:c>
    </x:row>
    <x:row r="127" ht="43.20000076293945" hidden="0" customHeight="1">
      <x:c r="A127" s="80" t="str">
        <x:v>docs/99_Archive/01_Architecture/ARCH-007_Sequence_Diagrams/ARCH-007_SD-005_Restore_Activation_Amendment_v4.md</x:v>
      </x:c>
      <x:c r="B127" s="80" t="str">
        <x:v>md</x:v>
      </x:c>
      <x:c r="C127" s="80" t="str">
        <x:v>ARCH-007</x:v>
      </x:c>
      <x:c r="D127" s="80" t="str">
        <x:v>Mixed / technical</x:v>
      </x:c>
      <x:c r="E127" s="80" t="str">
        <x:v>Audited source</x:v>
      </x:c>
      <x:c r="F127" s="82" t="n">
        <x:v>2</x:v>
      </x:c>
      <x:c r="G127" s="80" t="str">
        <x:v>ARCH-007_Sequence_Diagrams_DE_v5_0_Full_Content_Audited_Complete.docx
ARCH-007_Sequence_Diagrams_RU_v5_0_Full_Content_Audited_Complete.docx</x:v>
      </x:c>
      <x:c r="H127" s="80" t="str">
        <x:v>Archive</x:v>
      </x:c>
      <x:c r="I127" s="82" t="n">
        <x:v>4415</x:v>
      </x:c>
      <x:c r="J127" s="80" t="str">
        <x:v>ca062851075c2b9a7c4cedcb58ebf5a04a7d4651049866ec4bc16e355f27fa3b</x:v>
      </x:c>
      <x:c r="K127" s="80" t="str">
        <x:v>Covered</x:v>
      </x:c>
      <x:c r="L127" s="80" t="str">
        <x:v>docs/01_Architecture/ARCH-007_Sequence_Diagrams/ARCH-007_Sequence_Diagrams_DE_v5_0_Full_Content_Audited_Complete.docx
docs/01_Architecture/ARCH-007_Sequence_Diagrams/ARCH-007_Sequence_Diagrams_RU_v5_0_Full_Content_Audited_Complete.docx</x:v>
      </x:c>
      <x:c r="M127" s="82" t="n">
        <x:v>0</x:v>
      </x:c>
    </x:row>
    <x:row r="128" ht="43.20000076293945" hidden="0" customHeight="1">
      <x:c r="A128" s="81" t="str">
        <x:v>docs/99_Archive/01_Architecture/ARCH-007_Sequence_Diagrams/ARCH-007_Sequence_Diagrams_Audited_Source_v3.md</x:v>
      </x:c>
      <x:c r="B128" s="81" t="str">
        <x:v>md</x:v>
      </x:c>
      <x:c r="C128" s="81" t="str">
        <x:v>ARCH-007</x:v>
      </x:c>
      <x:c r="D128" s="81" t="str">
        <x:v>Mixed / technical</x:v>
      </x:c>
      <x:c r="E128" s="81" t="str">
        <x:v>Audited source</x:v>
      </x:c>
      <x:c r="F128" s="83" t="n">
        <x:v>2</x:v>
      </x:c>
      <x:c r="G128" s="81" t="str">
        <x:v>ARCH-007_Sequence_Diagrams_DE_v5_0_Full_Content_Audited_Complete.docx
ARCH-007_Sequence_Diagrams_RU_v5_0_Full_Content_Audited_Complete.docx</x:v>
      </x:c>
      <x:c r="H128" s="81" t="str">
        <x:v>Archive</x:v>
      </x:c>
      <x:c r="I128" s="83" t="n">
        <x:v>12763</x:v>
      </x:c>
      <x:c r="J128" s="81" t="str">
        <x:v>d762e83c8b4968c883f9bb38b87499118e07f079cfe218537f2936bda12223aa</x:v>
      </x:c>
      <x:c r="K128" s="81" t="str">
        <x:v>Covered</x:v>
      </x:c>
      <x:c r="L128" s="81" t="str">
        <x:v>docs/01_Architecture/ARCH-007_Sequence_Diagrams/ARCH-007_Sequence_Diagrams_DE_v5_0_Full_Content_Audited_Complete.docx
docs/01_Architecture/ARCH-007_Sequence_Diagrams/ARCH-007_Sequence_Diagrams_RU_v5_0_Full_Content_Audited_Complete.docx</x:v>
      </x:c>
      <x:c r="M128" s="83" t="n">
        <x:v>0</x:v>
      </x:c>
    </x:row>
    <x:row r="129" ht="21.600000381469727" hidden="0" customHeight="1">
      <x:c r="A129" s="80" t="str">
        <x:v>docs/99_Archive/01_Architecture/ARCH-007_Sequence_Diagrams/ARCH-007_Sequence_Diagrams_DE_v2_Final.docx</x:v>
      </x:c>
      <x:c r="B129" s="80" t="str">
        <x:v>docx</x:v>
      </x:c>
      <x:c r="C129" s="80" t="str">
        <x:v>ARCH-007</x:v>
      </x:c>
      <x:c r="D129" s="80" t="str">
        <x:v>DE</x:v>
      </x:c>
      <x:c r="E129" s="80" t="str">
        <x:v>Archived document</x:v>
      </x:c>
      <x:c r="F129" s="82" t="n">
        <x:v>1</x:v>
      </x:c>
      <x:c r="G129" s="80" t="str">
        <x:v>ARCH-007_Sequence_Diagrams_DE_v5_0_Full_Content_Audited_Complete.docx</x:v>
      </x:c>
      <x:c r="H129" s="80" t="str">
        <x:v>Archive</x:v>
      </x:c>
      <x:c r="I129" s="82" t="n">
        <x:v>852784</x:v>
      </x:c>
      <x:c r="J129" s="80" t="str">
        <x:v>6e43615109724496cf0f3fb02acbb1d8953c74918a633cc10b39832cb4b501d4</x:v>
      </x:c>
      <x:c r="K129" s="80" t="str">
        <x:v>Covered</x:v>
      </x:c>
      <x:c r="L129" s="80" t="str">
        <x:v>docs/01_Architecture/ARCH-007_Sequence_Diagrams/ARCH-007_Sequence_Diagrams_DE_v5_0_Full_Content_Audited_Complete.docx</x:v>
      </x:c>
      <x:c r="M129" s="82" t="n">
        <x:v>0</x:v>
      </x:c>
    </x:row>
    <x:row r="130" ht="21.600000381469727" hidden="0" customHeight="1">
      <x:c r="A130" s="81" t="str">
        <x:v>docs/99_Archive/01_Architecture/ARCH-007_Sequence_Diagrams/ARCH-007_Sequence_Diagrams_RU_v2_Final.docx</x:v>
      </x:c>
      <x:c r="B130" s="81" t="str">
        <x:v>docx</x:v>
      </x:c>
      <x:c r="C130" s="81" t="str">
        <x:v>ARCH-007</x:v>
      </x:c>
      <x:c r="D130" s="81" t="str">
        <x:v>RU</x:v>
      </x:c>
      <x:c r="E130" s="81" t="str">
        <x:v>Archived document</x:v>
      </x:c>
      <x:c r="F130" s="83" t="n">
        <x:v>1</x:v>
      </x:c>
      <x:c r="G130" s="81" t="str">
        <x:v>ARCH-007_Sequence_Diagrams_RU_v5_0_Full_Content_Audited_Complete.docx</x:v>
      </x:c>
      <x:c r="H130" s="81" t="str">
        <x:v>Archive</x:v>
      </x:c>
      <x:c r="I130" s="83" t="n">
        <x:v>842553</x:v>
      </x:c>
      <x:c r="J130" s="81" t="str">
        <x:v>813bd2e02410a3e4f995d4f88d8745d7fb080643e9bbe20a6588828bccda61c5</x:v>
      </x:c>
      <x:c r="K130" s="81" t="str">
        <x:v>Covered</x:v>
      </x:c>
      <x:c r="L130" s="81" t="str">
        <x:v>docs/01_Architecture/ARCH-007_Sequence_Diagrams/ARCH-007_Sequence_Diagrams_RU_v5_0_Full_Content_Audited_Complete.docx</x:v>
      </x:c>
      <x:c r="M130" s="83" t="n">
        <x:v>0</x:v>
      </x:c>
    </x:row>
    <x:row r="131" ht="21.600000381469727" hidden="0" customHeight="1">
      <x:c r="A131" s="80" t="str">
        <x:v>docs/99_Archive/01_Architecture/ARCH-008_Deployment_Architecture/ARCH-008_Deployment_Architecture_DE_v1_Complete.docx</x:v>
      </x:c>
      <x:c r="B131" s="80" t="str">
        <x:v>docx</x:v>
      </x:c>
      <x:c r="C131" s="80" t="str">
        <x:v>ARCH-008</x:v>
      </x:c>
      <x:c r="D131" s="80" t="str">
        <x:v>DE</x:v>
      </x:c>
      <x:c r="E131" s="80" t="str">
        <x:v>Archived document</x:v>
      </x:c>
      <x:c r="F131" s="82" t="n">
        <x:v>1</x:v>
      </x:c>
      <x:c r="G131" s="80" t="str">
        <x:v>ARCH-008_Deployment_Architecture_DE_v2_0_Full_Content_Audited_Complete.docx</x:v>
      </x:c>
      <x:c r="H131" s="80" t="str">
        <x:v>Archive</x:v>
      </x:c>
      <x:c r="I131" s="82" t="n">
        <x:v>68990</x:v>
      </x:c>
      <x:c r="J131" s="80" t="str">
        <x:v>c0a57a6116f32b7232b231e45a89b5c7b2eaac5e9aa6a28913d2d37ff3701547</x:v>
      </x:c>
      <x:c r="K131" s="80" t="str">
        <x:v>Covered</x:v>
      </x:c>
      <x:c r="L131" s="80" t="str">
        <x:v>docs/01_Architecture/ARCH-008_Deployment_Architecture/ARCH-008_Deployment_Architecture_DE_v2_0_Full_Content_Audited_Complete.docx</x:v>
      </x:c>
      <x:c r="M131" s="82" t="n">
        <x:v>0</x:v>
      </x:c>
    </x:row>
    <x:row r="132" ht="21.600000381469727" hidden="0" customHeight="1">
      <x:c r="A132" s="81" t="str">
        <x:v>docs/99_Archive/01_Architecture/ARCH-008_Deployment_Architecture/ARCH-008_World_Engine_Deployment_Architecture_RU_v1_Complete.docx</x:v>
      </x:c>
      <x:c r="B132" s="81" t="str">
        <x:v>docx</x:v>
      </x:c>
      <x:c r="C132" s="81" t="str">
        <x:v>ARCH-008</x:v>
      </x:c>
      <x:c r="D132" s="81" t="str">
        <x:v>RU</x:v>
      </x:c>
      <x:c r="E132" s="81" t="str">
        <x:v>Archived document</x:v>
      </x:c>
      <x:c r="F132" s="83" t="n">
        <x:v>1</x:v>
      </x:c>
      <x:c r="G132" s="81" t="str">
        <x:v>ARCH-008_Deployment_Architecture_RU_v2_0_Full_Content_Audited_Complete.docx</x:v>
      </x:c>
      <x:c r="H132" s="81" t="str">
        <x:v>Archive</x:v>
      </x:c>
      <x:c r="I132" s="83" t="n">
        <x:v>73032</x:v>
      </x:c>
      <x:c r="J132" s="81" t="str">
        <x:v>d45ce60adc8454b759355b5ca8c59f8b1241d18f5495de4c2562013272fee02f</x:v>
      </x:c>
      <x:c r="K132" s="81" t="str">
        <x:v>Covered</x:v>
      </x:c>
      <x:c r="L132" s="81" t="str">
        <x:v>docs/01_Architecture/ARCH-008_Deployment_Architecture/ARCH-008_Deployment_Architecture_RU_v2_0_Full_Content_Audited_Complete.docx</x:v>
      </x:c>
      <x:c r="M132" s="83" t="n">
        <x:v>0</x:v>
      </x:c>
    </x:row>
    <x:row r="133" ht="21.600000381469727" hidden="0" customHeight="1">
      <x:c r="A133" s="80" t="str">
        <x:v>docs/99_Archive/01_Architecture/ARCH-009_Configuration_Architecture/ARCH-009_Configuration_Architecture_DE_v1_Complete.docx</x:v>
      </x:c>
      <x:c r="B133" s="80" t="str">
        <x:v>docx</x:v>
      </x:c>
      <x:c r="C133" s="80" t="str">
        <x:v>ARCH-009</x:v>
      </x:c>
      <x:c r="D133" s="80" t="str">
        <x:v>DE</x:v>
      </x:c>
      <x:c r="E133" s="80" t="str">
        <x:v>Archived document</x:v>
      </x:c>
      <x:c r="F133" s="82" t="n">
        <x:v>1</x:v>
      </x:c>
      <x:c r="G133" s="80" t="str">
        <x:v>ARCH-009_Configuration_Architecture_DE_v2_0_Full_Content_Audited_Complete.docx</x:v>
      </x:c>
      <x:c r="H133" s="80" t="str">
        <x:v>Archive</x:v>
      </x:c>
      <x:c r="I133" s="82" t="n">
        <x:v>68030</x:v>
      </x:c>
      <x:c r="J133" s="80" t="str">
        <x:v>6e307195accf145242ae001dfd701e70c2fc5d08ee10cc3d06727711ef15939a</x:v>
      </x:c>
      <x:c r="K133" s="80" t="str">
        <x:v>Covered</x:v>
      </x:c>
      <x:c r="L133" s="80" t="str">
        <x:v>docs/01_Architecture/ARCH-009_Configuration_Architecture/ARCH-009_Configuration_Architecture_DE_v2_0_Full_Content_Audited_Complete.docx</x:v>
      </x:c>
      <x:c r="M133" s="82" t="n">
        <x:v>0</x:v>
      </x:c>
    </x:row>
    <x:row r="134" ht="21.600000381469727" hidden="0" customHeight="1">
      <x:c r="A134" s="81" t="str">
        <x:v>docs/99_Archive/01_Architecture/ARCH-009_Configuration_Architecture/ARCH-009_Configuration_Architecture_RU_v1_Complete.docx</x:v>
      </x:c>
      <x:c r="B134" s="81" t="str">
        <x:v>docx</x:v>
      </x:c>
      <x:c r="C134" s="81" t="str">
        <x:v>ARCH-009</x:v>
      </x:c>
      <x:c r="D134" s="81" t="str">
        <x:v>RU</x:v>
      </x:c>
      <x:c r="E134" s="81" t="str">
        <x:v>Archived document</x:v>
      </x:c>
      <x:c r="F134" s="83" t="n">
        <x:v>1</x:v>
      </x:c>
      <x:c r="G134" s="81" t="str">
        <x:v>ARCH-009_Configuration_Architecture_RU_v2_0_Full_Content_Audited_Complete.docx</x:v>
      </x:c>
      <x:c r="H134" s="81" t="str">
        <x:v>Archive</x:v>
      </x:c>
      <x:c r="I134" s="83" t="n">
        <x:v>71951</x:v>
      </x:c>
      <x:c r="J134" s="81" t="str">
        <x:v>e18d51ec035e6bc09bb662bafecdae57be01453021cf6631dbb1d60ac0296eaf</x:v>
      </x:c>
      <x:c r="K134" s="81" t="str">
        <x:v>Covered</x:v>
      </x:c>
      <x:c r="L134" s="81" t="str">
        <x:v>docs/01_Architecture/ARCH-009_Configuration_Architecture/ARCH-009_Configuration_Architecture_RU_v2_0_Full_Content_Audited_Complete.docx</x:v>
      </x:c>
      <x:c r="M134" s="83" t="n">
        <x:v>0</x:v>
      </x:c>
    </x:row>
    <x:row r="135" ht="21.600000381469727" hidden="0" customHeight="1">
      <x:c r="A135" s="80" t="str">
        <x:v>docs/99_Archive/01_Architecture/ARCH-010_Plugin_Architecture/ARCH-010_Plugin_Architecture_DE_v1_Complete.docx</x:v>
      </x:c>
      <x:c r="B135" s="80" t="str">
        <x:v>docx</x:v>
      </x:c>
      <x:c r="C135" s="80" t="str">
        <x:v>ARCH-010</x:v>
      </x:c>
      <x:c r="D135" s="80" t="str">
        <x:v>DE</x:v>
      </x:c>
      <x:c r="E135" s="80" t="str">
        <x:v>Archived document</x:v>
      </x:c>
      <x:c r="F135" s="82" t="n">
        <x:v>1</x:v>
      </x:c>
      <x:c r="G135" s="80" t="str">
        <x:v>ARCH-010_Plugin_Architecture_DE_v2_0_Full_Content_Audited_Complete.docx</x:v>
      </x:c>
      <x:c r="H135" s="80" t="str">
        <x:v>Archive</x:v>
      </x:c>
      <x:c r="I135" s="82" t="n">
        <x:v>73016</x:v>
      </x:c>
      <x:c r="J135" s="80" t="str">
        <x:v>23510941c1ee8540d64b2ecdf1e2b86d8c5b7889322683d4c67a269c3e00f67a</x:v>
      </x:c>
      <x:c r="K135" s="80" t="str">
        <x:v>Covered</x:v>
      </x:c>
      <x:c r="L135" s="80" t="str">
        <x:v>docs/01_Architecture/ARCH-010_Plugin_Architecture/ARCH-010_Plugin_Architecture_DE_v2_0_Full_Content_Audited_Complete.docx</x:v>
      </x:c>
      <x:c r="M135" s="82" t="n">
        <x:v>0</x:v>
      </x:c>
    </x:row>
    <x:row r="136" ht="21.600000381469727" hidden="0" customHeight="1">
      <x:c r="A136" s="81" t="str">
        <x:v>docs/99_Archive/01_Architecture/ARCH-010_Plugin_Architecture/ARCH-010_Plugin_Architecture_RU_v1_Complete.docx</x:v>
      </x:c>
      <x:c r="B136" s="81" t="str">
        <x:v>docx</x:v>
      </x:c>
      <x:c r="C136" s="81" t="str">
        <x:v>ARCH-010</x:v>
      </x:c>
      <x:c r="D136" s="81" t="str">
        <x:v>RU</x:v>
      </x:c>
      <x:c r="E136" s="81" t="str">
        <x:v>Archived document</x:v>
      </x:c>
      <x:c r="F136" s="83" t="n">
        <x:v>1</x:v>
      </x:c>
      <x:c r="G136" s="81" t="str">
        <x:v>ARCH-010_Plugin_Architecture_RU_v2_0_Full_Content_Audited_Complete.docx</x:v>
      </x:c>
      <x:c r="H136" s="81" t="str">
        <x:v>Archive</x:v>
      </x:c>
      <x:c r="I136" s="83" t="n">
        <x:v>76817</x:v>
      </x:c>
      <x:c r="J136" s="81" t="str">
        <x:v>a47486547ee296d80b4cc30d38d4de7fc6a814bff4f95632cbe19f235ef270c1</x:v>
      </x:c>
      <x:c r="K136" s="81" t="str">
        <x:v>Covered</x:v>
      </x:c>
      <x:c r="L136" s="81" t="str">
        <x:v>docs/01_Architecture/ARCH-010_Plugin_Architecture/ARCH-010_Plugin_Architecture_RU_v2_0_Full_Content_Audited_Complete.docx</x:v>
      </x:c>
      <x:c r="M136" s="83" t="n">
        <x:v>0</x:v>
      </x:c>
    </x:row>
    <x:row r="137" ht="21.600000381469727" hidden="0" customHeight="1">
      <x:c r="A137" s="80" t="str">
        <x:v>docs/99_Archive/01_Architecture/ARCH-011_Save_System_Architecture/ARCH-011_Save_System_Architecture_DE_v1_Complete.docx</x:v>
      </x:c>
      <x:c r="B137" s="80" t="str">
        <x:v>docx</x:v>
      </x:c>
      <x:c r="C137" s="80" t="str">
        <x:v>ARCH-011</x:v>
      </x:c>
      <x:c r="D137" s="80" t="str">
        <x:v>DE</x:v>
      </x:c>
      <x:c r="E137" s="80" t="str">
        <x:v>Archived document</x:v>
      </x:c>
      <x:c r="F137" s="82" t="n">
        <x:v>1</x:v>
      </x:c>
      <x:c r="G137" s="80" t="str">
        <x:v>ARCH-011_Save_System_Architecture_DE_v2_0_Full_Content_Audited_Complete.docx</x:v>
      </x:c>
      <x:c r="H137" s="80" t="str">
        <x:v>Archive</x:v>
      </x:c>
      <x:c r="I137" s="82" t="n">
        <x:v>71041</x:v>
      </x:c>
      <x:c r="J137" s="80" t="str">
        <x:v>f86dea25c7277d17ea2029b4bb84a69ff26a85b045165c93456b013ae6eaaeb2</x:v>
      </x:c>
      <x:c r="K137" s="80" t="str">
        <x:v>Covered</x:v>
      </x:c>
      <x:c r="L137" s="80" t="str">
        <x:v>docs/01_Architecture/ARCH-011_Save_System_Architecture/ARCH-011_Save_System_Architecture_DE_v2_0_Full_Content_Audited_Complete.docx</x:v>
      </x:c>
      <x:c r="M137" s="82" t="n">
        <x:v>0</x:v>
      </x:c>
    </x:row>
    <x:row r="138" ht="21.600000381469727" hidden="0" customHeight="1">
      <x:c r="A138" s="81" t="str">
        <x:v>docs/99_Archive/01_Architecture/ARCH-011_Save_System_Architecture/ARCH-011_Save_System_Architecture_RU_v1_Complete.docx</x:v>
      </x:c>
      <x:c r="B138" s="81" t="str">
        <x:v>docx</x:v>
      </x:c>
      <x:c r="C138" s="81" t="str">
        <x:v>ARCH-011</x:v>
      </x:c>
      <x:c r="D138" s="81" t="str">
        <x:v>RU</x:v>
      </x:c>
      <x:c r="E138" s="81" t="str">
        <x:v>Archived document</x:v>
      </x:c>
      <x:c r="F138" s="83" t="n">
        <x:v>1</x:v>
      </x:c>
      <x:c r="G138" s="81" t="str">
        <x:v>ARCH-011_Save_System_Architecture_RU_v2_0_Full_Content_Audited_Complete.docx</x:v>
      </x:c>
      <x:c r="H138" s="81" t="str">
        <x:v>Archive</x:v>
      </x:c>
      <x:c r="I138" s="83" t="n">
        <x:v>75808</x:v>
      </x:c>
      <x:c r="J138" s="81" t="str">
        <x:v>26cea9e07fa2610624ac158d82479676f99e1e5ecc49ea4e5255d2cbff71d99b</x:v>
      </x:c>
      <x:c r="K138" s="81" t="str">
        <x:v>Covered</x:v>
      </x:c>
      <x:c r="L138" s="81" t="str">
        <x:v>docs/01_Architecture/ARCH-011_Save_System_Architecture/ARCH-011_Save_System_Architecture_RU_v2_0_Full_Content_Audited_Complete.docx</x:v>
      </x:c>
      <x:c r="M138" s="83" t="n">
        <x:v>0</x:v>
      </x:c>
    </x:row>
    <x:row r="139" ht="21.600000381469727" hidden="0" customHeight="1">
      <x:c r="A139" s="80" t="str">
        <x:v>docs/99_Archive/01_Architecture/ARCH-012_AI_Integration_Architecture/ARCH-012_AI_Integration_Architecture_DE_v1_Complete.docx</x:v>
      </x:c>
      <x:c r="B139" s="80" t="str">
        <x:v>docx</x:v>
      </x:c>
      <x:c r="C139" s="80" t="str">
        <x:v>ARCH-012</x:v>
      </x:c>
      <x:c r="D139" s="80" t="str">
        <x:v>DE</x:v>
      </x:c>
      <x:c r="E139" s="80" t="str">
        <x:v>Archived document</x:v>
      </x:c>
      <x:c r="F139" s="82" t="n">
        <x:v>1</x:v>
      </x:c>
      <x:c r="G139" s="80" t="str">
        <x:v>ARCH-012_AI_Integration_Architecture_DE_v2_0_Full_Content_Audited_Complete.docx</x:v>
      </x:c>
      <x:c r="H139" s="80" t="str">
        <x:v>Archive</x:v>
      </x:c>
      <x:c r="I139" s="82" t="n">
        <x:v>73941</x:v>
      </x:c>
      <x:c r="J139" s="80" t="str">
        <x:v>4828456e4dbdc54b16c43a7f71f36354e3ba05fc0edab4a83930af9b8e9b0be7</x:v>
      </x:c>
      <x:c r="K139" s="80" t="str">
        <x:v>Covered</x:v>
      </x:c>
      <x:c r="L139" s="80" t="str">
        <x:v>docs/01_Architecture/ARCH-012_AI_Integration_Architecture/ARCH-012_AI_Integration_Architecture_DE_v2_0_Full_Content_Audited_Complete.docx</x:v>
      </x:c>
      <x:c r="M139" s="82" t="n">
        <x:v>0</x:v>
      </x:c>
    </x:row>
    <x:row r="140" ht="21.600000381469727" hidden="0" customHeight="1">
      <x:c r="A140" s="81" t="str">
        <x:v>docs/99_Archive/01_Architecture/ARCH-012_AI_Integration_Architecture/ARCH-012_AI_Integration_Architecture_RU_v1_Complete.docx</x:v>
      </x:c>
      <x:c r="B140" s="81" t="str">
        <x:v>docx</x:v>
      </x:c>
      <x:c r="C140" s="81" t="str">
        <x:v>ARCH-012</x:v>
      </x:c>
      <x:c r="D140" s="81" t="str">
        <x:v>RU</x:v>
      </x:c>
      <x:c r="E140" s="81" t="str">
        <x:v>Archived document</x:v>
      </x:c>
      <x:c r="F140" s="83" t="n">
        <x:v>1</x:v>
      </x:c>
      <x:c r="G140" s="81" t="str">
        <x:v>ARCH-012_AI_Integration_Architecture_RU_v2_0_Full_Content_Audited_Complete.docx</x:v>
      </x:c>
      <x:c r="H140" s="81" t="str">
        <x:v>Archive</x:v>
      </x:c>
      <x:c r="I140" s="83" t="n">
        <x:v>78590</x:v>
      </x:c>
      <x:c r="J140" s="81" t="str">
        <x:v>5ef1d9b3b5e6eb6db089f134ab7923905d7af38fdcb326143d6b939ba2ec2960</x:v>
      </x:c>
      <x:c r="K140" s="81" t="str">
        <x:v>Covered</x:v>
      </x:c>
      <x:c r="L140" s="81" t="str">
        <x:v>docs/01_Architecture/ARCH-012_AI_Integration_Architecture/ARCH-012_AI_Integration_Architecture_RU_v2_0_Full_Content_Audited_Complete.docx</x:v>
      </x:c>
      <x:c r="M140" s="83" t="n">
        <x:v>0</x:v>
      </x:c>
    </x:row>
    <x:row r="141" ht="21.600000381469727" hidden="0" customHeight="1">
      <x:c r="A141" s="80" t="str">
        <x:v>docs/99_Archive/02_Architecture_Decision_Records/ADR-001_Core_Architecture/ADR-001_Core_Architecture_Amendment_DE_v1_1_Proposed.docx</x:v>
      </x:c>
      <x:c r="B141" s="80" t="str">
        <x:v>docx</x:v>
      </x:c>
      <x:c r="C141" s="80" t="str">
        <x:v>ADR-001</x:v>
      </x:c>
      <x:c r="D141" s="80" t="str">
        <x:v>DE</x:v>
      </x:c>
      <x:c r="E141" s="80" t="str">
        <x:v>Archived document</x:v>
      </x:c>
      <x:c r="F141" s="82" t="n">
        <x:v>1</x:v>
      </x:c>
      <x:c r="G141" s="80" t="str">
        <x:v>ADR-001_Core_Architecture_DE_v3_0_Full_Content_Audited_Complete.docx</x:v>
      </x:c>
      <x:c r="H141" s="80" t="str">
        <x:v>Archive</x:v>
      </x:c>
      <x:c r="I141" s="82" t="n">
        <x:v>39092</x:v>
      </x:c>
      <x:c r="J141" s="80" t="str">
        <x:v>174d0f379f03f30268b2309346bca2db91e2439be610e1426026a740e055acb1</x:v>
      </x:c>
      <x:c r="K141" s="80" t="str">
        <x:v>Covered</x:v>
      </x:c>
      <x:c r="L141" s="80" t="str">
        <x:v>docs/02_Architecture_Decision_Records/ADR-001_Core_Architecture/ADR-001_Core_Architecture_DE_v3_0_Full_Content_Audited_Complete.docx</x:v>
      </x:c>
      <x:c r="M141" s="82" t="n">
        <x:v>0</x:v>
      </x:c>
    </x:row>
    <x:row r="142" ht="21.600000381469727" hidden="0" customHeight="1">
      <x:c r="A142" s="81" t="str">
        <x:v>docs/99_Archive/02_Architecture_Decision_Records/ADR-001_Core_Architecture/ADR-001_Core_Architecture_Amendment_RU_v1_1_Proposed.docx</x:v>
      </x:c>
      <x:c r="B142" s="81" t="str">
        <x:v>docx</x:v>
      </x:c>
      <x:c r="C142" s="81" t="str">
        <x:v>ADR-001</x:v>
      </x:c>
      <x:c r="D142" s="81" t="str">
        <x:v>RU</x:v>
      </x:c>
      <x:c r="E142" s="81" t="str">
        <x:v>Archived document</x:v>
      </x:c>
      <x:c r="F142" s="83" t="n">
        <x:v>1</x:v>
      </x:c>
      <x:c r="G142" s="81" t="str">
        <x:v>ADR-001_Core_Architecture_RU_v3_0_Full_Content_Audited_Complete.docx</x:v>
      </x:c>
      <x:c r="H142" s="81" t="str">
        <x:v>Archive</x:v>
      </x:c>
      <x:c r="I142" s="83" t="n">
        <x:v>39403</x:v>
      </x:c>
      <x:c r="J142" s="81" t="str">
        <x:v>6f0b787ef020d3c81234e3395b47051dd78984663b4d1404fd67f9d9caea89bc</x:v>
      </x:c>
      <x:c r="K142" s="81" t="str">
        <x:v>Covered</x:v>
      </x:c>
      <x:c r="L142" s="81" t="str">
        <x:v>docs/02_Architecture_Decision_Records/ADR-001_Core_Architecture/ADR-001_Core_Architecture_RU_v3_0_Full_Content_Audited_Complete.docx</x:v>
      </x:c>
      <x:c r="M142" s="83" t="n">
        <x:v>0</x:v>
      </x:c>
    </x:row>
    <x:row r="143" ht="21.600000381469727" hidden="0" customHeight="1">
      <x:c r="A143" s="80" t="str">
        <x:v>docs/99_Archive/02_Architecture_Decision_Records/ADR-001_Core_Architecture/ADR-001_Core_Architecture_DE_v1_Complete.docx</x:v>
      </x:c>
      <x:c r="B143" s="80" t="str">
        <x:v>docx</x:v>
      </x:c>
      <x:c r="C143" s="80" t="str">
        <x:v>ADR-001</x:v>
      </x:c>
      <x:c r="D143" s="80" t="str">
        <x:v>DE</x:v>
      </x:c>
      <x:c r="E143" s="80" t="str">
        <x:v>Archived document</x:v>
      </x:c>
      <x:c r="F143" s="82" t="n">
        <x:v>1</x:v>
      </x:c>
      <x:c r="G143" s="80" t="str">
        <x:v>ADR-001_Core_Architecture_DE_v3_0_Full_Content_Audited_Complete.docx</x:v>
      </x:c>
      <x:c r="H143" s="80" t="str">
        <x:v>Archive</x:v>
      </x:c>
      <x:c r="I143" s="82" t="n">
        <x:v>57610</x:v>
      </x:c>
      <x:c r="J143" s="80" t="str">
        <x:v>6fe7038906118bcd459aa8156c4140f67da6f395f0e83f7dbe7ed3878965dfbc</x:v>
      </x:c>
      <x:c r="K143" s="80" t="str">
        <x:v>Covered</x:v>
      </x:c>
      <x:c r="L143" s="80" t="str">
        <x:v>docs/02_Architecture_Decision_Records/ADR-001_Core_Architecture/ADR-001_Core_Architecture_DE_v3_0_Full_Content_Audited_Complete.docx</x:v>
      </x:c>
      <x:c r="M143" s="82" t="n">
        <x:v>0</x:v>
      </x:c>
    </x:row>
    <x:row r="144" ht="21.600000381469727" hidden="0" customHeight="1">
      <x:c r="A144" s="81" t="str">
        <x:v>docs/99_Archive/02_Architecture_Decision_Records/ADR-001_Core_Architecture/ADR-001_Core_Architecture_RU_v1_Complete.docx</x:v>
      </x:c>
      <x:c r="B144" s="81" t="str">
        <x:v>docx</x:v>
      </x:c>
      <x:c r="C144" s="81" t="str">
        <x:v>ADR-001</x:v>
      </x:c>
      <x:c r="D144" s="81" t="str">
        <x:v>RU</x:v>
      </x:c>
      <x:c r="E144" s="81" t="str">
        <x:v>Archived document</x:v>
      </x:c>
      <x:c r="F144" s="83" t="n">
        <x:v>1</x:v>
      </x:c>
      <x:c r="G144" s="81" t="str">
        <x:v>ADR-001_Core_Architecture_RU_v3_0_Full_Content_Audited_Complete.docx</x:v>
      </x:c>
      <x:c r="H144" s="81" t="str">
        <x:v>Archive</x:v>
      </x:c>
      <x:c r="I144" s="83" t="n">
        <x:v>60770</x:v>
      </x:c>
      <x:c r="J144" s="81" t="str">
        <x:v>10f2d0fd0a00ad911b81bb2492cb9a71c1f5cb563247b4bb59c9bc709a87e305</x:v>
      </x:c>
      <x:c r="K144" s="81" t="str">
        <x:v>Covered</x:v>
      </x:c>
      <x:c r="L144" s="81" t="str">
        <x:v>docs/02_Architecture_Decision_Records/ADR-001_Core_Architecture/ADR-001_Core_Architecture_RU_v3_0_Full_Content_Audited_Complete.docx</x:v>
      </x:c>
      <x:c r="M144" s="83" t="n">
        <x:v>0</x:v>
      </x:c>
    </x:row>
    <x:row r="145" ht="21.600000381469727" hidden="0" customHeight="1">
      <x:c r="A145" s="80" t="str">
        <x:v>docs/99_Archive/02_Architecture_Decision_Records/ADR-002_Event_System/ADR-002_Event_System_Clarification_DE_v1_1_Proposed.docx</x:v>
      </x:c>
      <x:c r="B145" s="80" t="str">
        <x:v>docx</x:v>
      </x:c>
      <x:c r="C145" s="80" t="str">
        <x:v>ADR-002</x:v>
      </x:c>
      <x:c r="D145" s="80" t="str">
        <x:v>DE</x:v>
      </x:c>
      <x:c r="E145" s="80" t="str">
        <x:v>Archived document</x:v>
      </x:c>
      <x:c r="F145" s="82" t="n">
        <x:v>1</x:v>
      </x:c>
      <x:c r="G145" s="80" t="str">
        <x:v>ADR-002_Event_System_DE_v3_0_Full_Content_Audited_Complete.docx</x:v>
      </x:c>
      <x:c r="H145" s="80" t="str">
        <x:v>Archive</x:v>
      </x:c>
      <x:c r="I145" s="82" t="n">
        <x:v>39049</x:v>
      </x:c>
      <x:c r="J145" s="80" t="str">
        <x:v>57482251612128ba15d5137671556e6302ad29feff25633a3ef8b1b6c83bce2b</x:v>
      </x:c>
      <x:c r="K145" s="80" t="str">
        <x:v>Covered</x:v>
      </x:c>
      <x:c r="L145" s="80" t="str">
        <x:v>docs/02_Architecture_Decision_Records/ADR-002_Event_System/ADR-002_Event_System_DE_v3_0_Full_Content_Audited_Complete.docx</x:v>
      </x:c>
      <x:c r="M145" s="82" t="n">
        <x:v>0</x:v>
      </x:c>
    </x:row>
    <x:row r="146" ht="21.600000381469727" hidden="0" customHeight="1">
      <x:c r="A146" s="81" t="str">
        <x:v>docs/99_Archive/02_Architecture_Decision_Records/ADR-002_Event_System/ADR-002_Event_System_Clarification_RU_v1_1_Proposed.docx</x:v>
      </x:c>
      <x:c r="B146" s="81" t="str">
        <x:v>docx</x:v>
      </x:c>
      <x:c r="C146" s="81" t="str">
        <x:v>ADR-002</x:v>
      </x:c>
      <x:c r="D146" s="81" t="str">
        <x:v>RU</x:v>
      </x:c>
      <x:c r="E146" s="81" t="str">
        <x:v>Archived document</x:v>
      </x:c>
      <x:c r="F146" s="83" t="n">
        <x:v>1</x:v>
      </x:c>
      <x:c r="G146" s="81" t="str">
        <x:v>ADR-002_Event_System_RU_v3_0_Full_Content_Audited_Complete.docx</x:v>
      </x:c>
      <x:c r="H146" s="81" t="str">
        <x:v>Archive</x:v>
      </x:c>
      <x:c r="I146" s="83" t="n">
        <x:v>39327</x:v>
      </x:c>
      <x:c r="J146" s="81" t="str">
        <x:v>3fc9ba1de4a6c7380d5ce516a9d7d979d131279e7ec9302634f0d22189417f16</x:v>
      </x:c>
      <x:c r="K146" s="81" t="str">
        <x:v>Covered</x:v>
      </x:c>
      <x:c r="L146" s="81" t="str">
        <x:v>docs/02_Architecture_Decision_Records/ADR-002_Event_System/ADR-002_Event_System_RU_v3_0_Full_Content_Audited_Complete.docx</x:v>
      </x:c>
      <x:c r="M146" s="83" t="n">
        <x:v>0</x:v>
      </x:c>
    </x:row>
    <x:row r="147" ht="21.600000381469727" hidden="0" customHeight="1">
      <x:c r="A147" s="80" t="str">
        <x:v>docs/99_Archive/02_Architecture_Decision_Records/ADR-002_Event_System/ADR-002_Event_System_DE_v1_Complete.docx</x:v>
      </x:c>
      <x:c r="B147" s="80" t="str">
        <x:v>docx</x:v>
      </x:c>
      <x:c r="C147" s="80" t="str">
        <x:v>ADR-002</x:v>
      </x:c>
      <x:c r="D147" s="80" t="str">
        <x:v>DE</x:v>
      </x:c>
      <x:c r="E147" s="80" t="str">
        <x:v>Archived document</x:v>
      </x:c>
      <x:c r="F147" s="82" t="n">
        <x:v>1</x:v>
      </x:c>
      <x:c r="G147" s="80" t="str">
        <x:v>ADR-002_Event_System_DE_v3_0_Full_Content_Audited_Complete.docx</x:v>
      </x:c>
      <x:c r="H147" s="80" t="str">
        <x:v>Archive</x:v>
      </x:c>
      <x:c r="I147" s="82" t="n">
        <x:v>60416</x:v>
      </x:c>
      <x:c r="J147" s="80" t="str">
        <x:v>47ab8147f40f6295031a68255f7474625603ddbf962f2ed24c0f56f4645397b3</x:v>
      </x:c>
      <x:c r="K147" s="80" t="str">
        <x:v>Covered</x:v>
      </x:c>
      <x:c r="L147" s="80" t="str">
        <x:v>docs/02_Architecture_Decision_Records/ADR-002_Event_System/ADR-002_Event_System_DE_v3_0_Full_Content_Audited_Complete.docx</x:v>
      </x:c>
      <x:c r="M147" s="82" t="n">
        <x:v>0</x:v>
      </x:c>
    </x:row>
    <x:row r="148" ht="21.600000381469727" hidden="0" customHeight="1">
      <x:c r="A148" s="81" t="str">
        <x:v>docs/99_Archive/02_Architecture_Decision_Records/ADR-002_Event_System/ADR-002_Event_System_RU_v1_Complete.docx</x:v>
      </x:c>
      <x:c r="B148" s="81" t="str">
        <x:v>docx</x:v>
      </x:c>
      <x:c r="C148" s="81" t="str">
        <x:v>ADR-002</x:v>
      </x:c>
      <x:c r="D148" s="81" t="str">
        <x:v>RU</x:v>
      </x:c>
      <x:c r="E148" s="81" t="str">
        <x:v>Archived document</x:v>
      </x:c>
      <x:c r="F148" s="83" t="n">
        <x:v>1</x:v>
      </x:c>
      <x:c r="G148" s="81" t="str">
        <x:v>ADR-002_Event_System_RU_v3_0_Full_Content_Audited_Complete.docx</x:v>
      </x:c>
      <x:c r="H148" s="81" t="str">
        <x:v>Archive</x:v>
      </x:c>
      <x:c r="I148" s="83" t="n">
        <x:v>63501</x:v>
      </x:c>
      <x:c r="J148" s="81" t="str">
        <x:v>1ae29110db8859d6e924c9ea19cd839354167e5348169fb2044512e50113059c</x:v>
      </x:c>
      <x:c r="K148" s="81" t="str">
        <x:v>Covered</x:v>
      </x:c>
      <x:c r="L148" s="81" t="str">
        <x:v>docs/02_Architecture_Decision_Records/ADR-002_Event_System/ADR-002_Event_System_RU_v3_0_Full_Content_Audited_Complete.docx</x:v>
      </x:c>
      <x:c r="M148" s="83" t="n">
        <x:v>0</x:v>
      </x:c>
    </x:row>
    <x:row r="149" ht="21.600000381469727" hidden="0" customHeight="1">
      <x:c r="A149" s="80" t="str">
        <x:v>docs/99_Archive/02_Architecture_Decision_Records/ADR-003_Database/ADR-003_Database_Amendment_DE_v1_1_Proposed.docx</x:v>
      </x:c>
      <x:c r="B149" s="80" t="str">
        <x:v>docx</x:v>
      </x:c>
      <x:c r="C149" s="80" t="str">
        <x:v>ADR-003</x:v>
      </x:c>
      <x:c r="D149" s="80" t="str">
        <x:v>DE</x:v>
      </x:c>
      <x:c r="E149" s="80" t="str">
        <x:v>Archived document</x:v>
      </x:c>
      <x:c r="F149" s="82" t="n">
        <x:v>1</x:v>
      </x:c>
      <x:c r="G149" s="80" t="str">
        <x:v>ADR-003_Database_DE_v3_0_Full_Content_Audited_Complete.docx</x:v>
      </x:c>
      <x:c r="H149" s="80" t="str">
        <x:v>Archive</x:v>
      </x:c>
      <x:c r="I149" s="82" t="n">
        <x:v>38991</x:v>
      </x:c>
      <x:c r="J149" s="80" t="str">
        <x:v>0727ee1a5b066dbd54ccd358ef2b67fea1e518eb2b0789a17cef50b776b5b911</x:v>
      </x:c>
      <x:c r="K149" s="80" t="str">
        <x:v>Covered</x:v>
      </x:c>
      <x:c r="L149" s="80" t="str">
        <x:v>docs/02_Architecture_Decision_Records/ADR-003_Database/ADR-003_Database_DE_v3_0_Full_Content_Audited_Complete.docx</x:v>
      </x:c>
      <x:c r="M149" s="82" t="n">
        <x:v>0</x:v>
      </x:c>
    </x:row>
    <x:row r="150" ht="21.600000381469727" hidden="0" customHeight="1">
      <x:c r="A150" s="81" t="str">
        <x:v>docs/99_Archive/02_Architecture_Decision_Records/ADR-003_Database/ADR-003_Database_Amendment_RU_v1_1_Proposed.docx</x:v>
      </x:c>
      <x:c r="B150" s="81" t="str">
        <x:v>docx</x:v>
      </x:c>
      <x:c r="C150" s="81" t="str">
        <x:v>ADR-003</x:v>
      </x:c>
      <x:c r="D150" s="81" t="str">
        <x:v>RU</x:v>
      </x:c>
      <x:c r="E150" s="81" t="str">
        <x:v>Archived document</x:v>
      </x:c>
      <x:c r="F150" s="83" t="n">
        <x:v>1</x:v>
      </x:c>
      <x:c r="G150" s="81" t="str">
        <x:v>ADR-003_Database_RU_v3_0_Full_Content_Audited_Complete.docx</x:v>
      </x:c>
      <x:c r="H150" s="81" t="str">
        <x:v>Archive</x:v>
      </x:c>
      <x:c r="I150" s="83" t="n">
        <x:v>39243</x:v>
      </x:c>
      <x:c r="J150" s="81" t="str">
        <x:v>aaa14e37b4e0303a48306f0754989ccca4450268c3674197bd12fccee357c6d3</x:v>
      </x:c>
      <x:c r="K150" s="81" t="str">
        <x:v>Covered</x:v>
      </x:c>
      <x:c r="L150" s="81" t="str">
        <x:v>docs/02_Architecture_Decision_Records/ADR-003_Database/ADR-003_Database_RU_v3_0_Full_Content_Audited_Complete.docx</x:v>
      </x:c>
      <x:c r="M150" s="83" t="n">
        <x:v>0</x:v>
      </x:c>
    </x:row>
    <x:row r="151" ht="21.600000381469727" hidden="0" customHeight="1">
      <x:c r="A151" s="80" t="str">
        <x:v>docs/99_Archive/02_Architecture_Decision_Records/ADR-003_Database/ADR-003_Database_DE_v1_Complete.docx</x:v>
      </x:c>
      <x:c r="B151" s="80" t="str">
        <x:v>docx</x:v>
      </x:c>
      <x:c r="C151" s="80" t="str">
        <x:v>ADR-003</x:v>
      </x:c>
      <x:c r="D151" s="80" t="str">
        <x:v>DE</x:v>
      </x:c>
      <x:c r="E151" s="80" t="str">
        <x:v>Archived document</x:v>
      </x:c>
      <x:c r="F151" s="82" t="n">
        <x:v>1</x:v>
      </x:c>
      <x:c r="G151" s="80" t="str">
        <x:v>ADR-003_Database_DE_v3_0_Full_Content_Audited_Complete.docx</x:v>
      </x:c>
      <x:c r="H151" s="80" t="str">
        <x:v>Archive</x:v>
      </x:c>
      <x:c r="I151" s="82" t="n">
        <x:v>61111</x:v>
      </x:c>
      <x:c r="J151" s="80" t="str">
        <x:v>f04db05b3b6ea1c03a7c90e69b9d20c4e5e7a837be55b6db073009c8f966fb74</x:v>
      </x:c>
      <x:c r="K151" s="80" t="str">
        <x:v>Covered</x:v>
      </x:c>
      <x:c r="L151" s="80" t="str">
        <x:v>docs/02_Architecture_Decision_Records/ADR-003_Database/ADR-003_Database_DE_v3_0_Full_Content_Audited_Complete.docx</x:v>
      </x:c>
      <x:c r="M151" s="82" t="n">
        <x:v>0</x:v>
      </x:c>
    </x:row>
    <x:row r="152" ht="21.600000381469727" hidden="0" customHeight="1">
      <x:c r="A152" s="81" t="str">
        <x:v>docs/99_Archive/02_Architecture_Decision_Records/ADR-003_Database/ADR-003_Database_RU_v1_Complete.docx</x:v>
      </x:c>
      <x:c r="B152" s="81" t="str">
        <x:v>docx</x:v>
      </x:c>
      <x:c r="C152" s="81" t="str">
        <x:v>ADR-003</x:v>
      </x:c>
      <x:c r="D152" s="81" t="str">
        <x:v>RU</x:v>
      </x:c>
      <x:c r="E152" s="81" t="str">
        <x:v>Archived document</x:v>
      </x:c>
      <x:c r="F152" s="83" t="n">
        <x:v>1</x:v>
      </x:c>
      <x:c r="G152" s="81" t="str">
        <x:v>ADR-003_Database_RU_v3_0_Full_Content_Audited_Complete.docx</x:v>
      </x:c>
      <x:c r="H152" s="81" t="str">
        <x:v>Archive</x:v>
      </x:c>
      <x:c r="I152" s="83" t="n">
        <x:v>64492</x:v>
      </x:c>
      <x:c r="J152" s="81" t="str">
        <x:v>ec6899bd01750911193e3ad61e7bd3a169744d8d988540c891e4d2e53e45ad50</x:v>
      </x:c>
      <x:c r="K152" s="81" t="str">
        <x:v>Covered</x:v>
      </x:c>
      <x:c r="L152" s="81" t="str">
        <x:v>docs/02_Architecture_Decision_Records/ADR-003_Database/ADR-003_Database_RU_v3_0_Full_Content_Audited_Complete.docx</x:v>
      </x:c>
      <x:c r="M152" s="83" t="n">
        <x:v>0</x:v>
      </x:c>
    </x:row>
    <x:row r="153" ht="21.600000381469727" hidden="0" customHeight="1">
      <x:c r="A153" s="80" t="str">
        <x:v>docs/99_Archive/02_Architecture_Decision_Records/ADR-004_Local_AI/ADR-004_Local_AI_Amendment_DE_v1_1_Proposed.docx</x:v>
      </x:c>
      <x:c r="B153" s="80" t="str">
        <x:v>docx</x:v>
      </x:c>
      <x:c r="C153" s="80" t="str">
        <x:v>ADR-004</x:v>
      </x:c>
      <x:c r="D153" s="80" t="str">
        <x:v>DE</x:v>
      </x:c>
      <x:c r="E153" s="80" t="str">
        <x:v>Archived document</x:v>
      </x:c>
      <x:c r="F153" s="82" t="n">
        <x:v>1</x:v>
      </x:c>
      <x:c r="G153" s="80" t="str">
        <x:v>ADR-004_Local_AI_DE_v3_0_Full_Content_Audited_Complete.docx</x:v>
      </x:c>
      <x:c r="H153" s="80" t="str">
        <x:v>Archive</x:v>
      </x:c>
      <x:c r="I153" s="82" t="n">
        <x:v>38993</x:v>
      </x:c>
      <x:c r="J153" s="80" t="str">
        <x:v>cc62e9fb7049d462dd987152e3fa244ee04fff0de6445b514b9b3d6f18e68fa5</x:v>
      </x:c>
      <x:c r="K153" s="80" t="str">
        <x:v>Covered</x:v>
      </x:c>
      <x:c r="L153" s="80" t="str">
        <x:v>docs/02_Architecture_Decision_Records/ADR-004_Local_AI/ADR-004_Local_AI_DE_v3_0_Full_Content_Audited_Complete.docx</x:v>
      </x:c>
      <x:c r="M153" s="82" t="n">
        <x:v>0</x:v>
      </x:c>
    </x:row>
    <x:row r="154" ht="21.600000381469727" hidden="0" customHeight="1">
      <x:c r="A154" s="81" t="str">
        <x:v>docs/99_Archive/02_Architecture_Decision_Records/ADR-004_Local_AI/ADR-004_Local_AI_Amendment_RU_v1_1_Proposed.docx</x:v>
      </x:c>
      <x:c r="B154" s="81" t="str">
        <x:v>docx</x:v>
      </x:c>
      <x:c r="C154" s="81" t="str">
        <x:v>ADR-004</x:v>
      </x:c>
      <x:c r="D154" s="81" t="str">
        <x:v>RU</x:v>
      </x:c>
      <x:c r="E154" s="81" t="str">
        <x:v>Archived document</x:v>
      </x:c>
      <x:c r="F154" s="83" t="n">
        <x:v>1</x:v>
      </x:c>
      <x:c r="G154" s="81" t="str">
        <x:v>ADR-004_Local_AI_RU_v3_0_Full_Content_Audited_Complete.docx</x:v>
      </x:c>
      <x:c r="H154" s="81" t="str">
        <x:v>Archive</x:v>
      </x:c>
      <x:c r="I154" s="83" t="n">
        <x:v>39265</x:v>
      </x:c>
      <x:c r="J154" s="81" t="str">
        <x:v>e6324aee735ada9e03430b7dcfb2e59d008f1a0a6fe6d502ef10d8fb7127d414</x:v>
      </x:c>
      <x:c r="K154" s="81" t="str">
        <x:v>Covered</x:v>
      </x:c>
      <x:c r="L154" s="81" t="str">
        <x:v>docs/02_Architecture_Decision_Records/ADR-004_Local_AI/ADR-004_Local_AI_RU_v3_0_Full_Content_Audited_Complete.docx</x:v>
      </x:c>
      <x:c r="M154" s="83" t="n">
        <x:v>0</x:v>
      </x:c>
    </x:row>
    <x:row r="155" ht="21.600000381469727" hidden="0" customHeight="1">
      <x:c r="A155" s="80" t="str">
        <x:v>docs/99_Archive/02_Architecture_Decision_Records/ADR-004_Local_AI/ADR-004_Local_AI_DE_v1_Complete.docx</x:v>
      </x:c>
      <x:c r="B155" s="80" t="str">
        <x:v>docx</x:v>
      </x:c>
      <x:c r="C155" s="80" t="str">
        <x:v>ADR-004</x:v>
      </x:c>
      <x:c r="D155" s="80" t="str">
        <x:v>DE</x:v>
      </x:c>
      <x:c r="E155" s="80" t="str">
        <x:v>Archived document</x:v>
      </x:c>
      <x:c r="F155" s="82" t="n">
        <x:v>1</x:v>
      </x:c>
      <x:c r="G155" s="80" t="str">
        <x:v>ADR-004_Local_AI_DE_v3_0_Full_Content_Audited_Complete.docx</x:v>
      </x:c>
      <x:c r="H155" s="80" t="str">
        <x:v>Archive</x:v>
      </x:c>
      <x:c r="I155" s="82" t="n">
        <x:v>61191</x:v>
      </x:c>
      <x:c r="J155" s="80" t="str">
        <x:v>994265de7ff5facf53a21a171360e54be618c55d76444e21bd09d25679ef7ae3</x:v>
      </x:c>
      <x:c r="K155" s="80" t="str">
        <x:v>Covered</x:v>
      </x:c>
      <x:c r="L155" s="80" t="str">
        <x:v>docs/02_Architecture_Decision_Records/ADR-004_Local_AI/ADR-004_Local_AI_DE_v3_0_Full_Content_Audited_Complete.docx</x:v>
      </x:c>
      <x:c r="M155" s="82" t="n">
        <x:v>0</x:v>
      </x:c>
    </x:row>
    <x:row r="156" ht="21.600000381469727" hidden="0" customHeight="1">
      <x:c r="A156" s="81" t="str">
        <x:v>docs/99_Archive/02_Architecture_Decision_Records/ADR-004_Local_AI/ADR-004_Local_AI_RU_v1_Complete.docx</x:v>
      </x:c>
      <x:c r="B156" s="81" t="str">
        <x:v>docx</x:v>
      </x:c>
      <x:c r="C156" s="81" t="str">
        <x:v>ADR-004</x:v>
      </x:c>
      <x:c r="D156" s="81" t="str">
        <x:v>RU</x:v>
      </x:c>
      <x:c r="E156" s="81" t="str">
        <x:v>Archived document</x:v>
      </x:c>
      <x:c r="F156" s="83" t="n">
        <x:v>1</x:v>
      </x:c>
      <x:c r="G156" s="81" t="str">
        <x:v>ADR-004_Local_AI_RU_v3_0_Full_Content_Audited_Complete.docx</x:v>
      </x:c>
      <x:c r="H156" s="81" t="str">
        <x:v>Archive</x:v>
      </x:c>
      <x:c r="I156" s="83" t="n">
        <x:v>65486</x:v>
      </x:c>
      <x:c r="J156" s="81" t="str">
        <x:v>8f4c354beb7d4cba84162494490ce96e4ac4d1f7f21a893236325caff6093e6d</x:v>
      </x:c>
      <x:c r="K156" s="81" t="str">
        <x:v>Covered</x:v>
      </x:c>
      <x:c r="L156" s="81" t="str">
        <x:v>docs/02_Architecture_Decision_Records/ADR-004_Local_AI/ADR-004_Local_AI_RU_v3_0_Full_Content_Audited_Complete.docx</x:v>
      </x:c>
      <x:c r="M156" s="83" t="n">
        <x:v>0</x:v>
      </x:c>
    </x:row>
    <x:row r="157" ht="21.600000381469727" hidden="0" customHeight="1">
      <x:c r="A157" s="80" t="str">
        <x:v>docs/99_Archive/02_Architecture_Decision_Records/ADR-005_Save_System/ADR-005_Save_System_Amendment_DE_v1_2_Proposed_Audited.docx</x:v>
      </x:c>
      <x:c r="B157" s="80" t="str">
        <x:v>docx</x:v>
      </x:c>
      <x:c r="C157" s="80" t="str">
        <x:v>ADR-005</x:v>
      </x:c>
      <x:c r="D157" s="80" t="str">
        <x:v>DE</x:v>
      </x:c>
      <x:c r="E157" s="80" t="str">
        <x:v>Archived document</x:v>
      </x:c>
      <x:c r="F157" s="82" t="n">
        <x:v>1</x:v>
      </x:c>
      <x:c r="G157" s="80" t="str">
        <x:v>ADR-005_Save_System_DE_v3_0_Full_Content_Audited_Complete.docx</x:v>
      </x:c>
      <x:c r="H157" s="80" t="str">
        <x:v>Archive</x:v>
      </x:c>
      <x:c r="I157" s="82" t="n">
        <x:v>39447</x:v>
      </x:c>
      <x:c r="J157" s="80" t="str">
        <x:v>84cd3d9711d55d2ef4b19573103ab3651953606826377ac1346b31cc01bbd503</x:v>
      </x:c>
      <x:c r="K157" s="80" t="str">
        <x:v>Covered</x:v>
      </x:c>
      <x:c r="L157" s="80" t="str">
        <x:v>docs/02_Architecture_Decision_Records/ADR-005_Save_System/ADR-005_Save_System_DE_v3_0_Full_Content_Audited_Complete.docx</x:v>
      </x:c>
      <x:c r="M157" s="82" t="n">
        <x:v>0</x:v>
      </x:c>
    </x:row>
    <x:row r="158" ht="21.600000381469727" hidden="0" customHeight="1">
      <x:c r="A158" s="81" t="str">
        <x:v>docs/99_Archive/02_Architecture_Decision_Records/ADR-005_Save_System/ADR-005_Save_System_Amendment_RU_v1_2_Proposed_Audited.docx</x:v>
      </x:c>
      <x:c r="B158" s="81" t="str">
        <x:v>docx</x:v>
      </x:c>
      <x:c r="C158" s="81" t="str">
        <x:v>ADR-005</x:v>
      </x:c>
      <x:c r="D158" s="81" t="str">
        <x:v>RU</x:v>
      </x:c>
      <x:c r="E158" s="81" t="str">
        <x:v>Archived document</x:v>
      </x:c>
      <x:c r="F158" s="83" t="n">
        <x:v>1</x:v>
      </x:c>
      <x:c r="G158" s="81" t="str">
        <x:v>ADR-005_Save_System_RU_v3_0_Full_Content_Audited_Complete.docx</x:v>
      </x:c>
      <x:c r="H158" s="81" t="str">
        <x:v>Archive</x:v>
      </x:c>
      <x:c r="I158" s="83" t="n">
        <x:v>39706</x:v>
      </x:c>
      <x:c r="J158" s="81" t="str">
        <x:v>56b3443bd79e6dbc320e7e83cd596f5565eb85179f53ac7ac8144a75c40a4b95</x:v>
      </x:c>
      <x:c r="K158" s="81" t="str">
        <x:v>Covered</x:v>
      </x:c>
      <x:c r="L158" s="81" t="str">
        <x:v>docs/02_Architecture_Decision_Records/ADR-005_Save_System/ADR-005_Save_System_RU_v3_0_Full_Content_Audited_Complete.docx</x:v>
      </x:c>
      <x:c r="M158" s="83" t="n">
        <x:v>0</x:v>
      </x:c>
    </x:row>
    <x:row r="159" ht="21.600000381469727" hidden="0" customHeight="1">
      <x:c r="A159" s="80" t="str">
        <x:v>docs/99_Archive/02_Architecture_Decision_Records/ADR-005_Save_System/ADR-005_Save_System_DE_v1_Complete.docx</x:v>
      </x:c>
      <x:c r="B159" s="80" t="str">
        <x:v>docx</x:v>
      </x:c>
      <x:c r="C159" s="80" t="str">
        <x:v>ADR-005</x:v>
      </x:c>
      <x:c r="D159" s="80" t="str">
        <x:v>DE</x:v>
      </x:c>
      <x:c r="E159" s="80" t="str">
        <x:v>Archived document</x:v>
      </x:c>
      <x:c r="F159" s="82" t="n">
        <x:v>1</x:v>
      </x:c>
      <x:c r="G159" s="80" t="str">
        <x:v>ADR-005_Save_System_DE_v3_0_Full_Content_Audited_Complete.docx</x:v>
      </x:c>
      <x:c r="H159" s="80" t="str">
        <x:v>Archive</x:v>
      </x:c>
      <x:c r="I159" s="82" t="n">
        <x:v>60701</x:v>
      </x:c>
      <x:c r="J159" s="80" t="str">
        <x:v>8b220034634a1318c08e1f53e7a35a69ca46509a447993f423905b54c34bde3e</x:v>
      </x:c>
      <x:c r="K159" s="80" t="str">
        <x:v>Covered</x:v>
      </x:c>
      <x:c r="L159" s="80" t="str">
        <x:v>docs/02_Architecture_Decision_Records/ADR-005_Save_System/ADR-005_Save_System_DE_v3_0_Full_Content_Audited_Complete.docx</x:v>
      </x:c>
      <x:c r="M159" s="82" t="n">
        <x:v>0</x:v>
      </x:c>
    </x:row>
    <x:row r="160" ht="21.600000381469727" hidden="0" customHeight="1">
      <x:c r="A160" s="81" t="str">
        <x:v>docs/99_Archive/02_Architecture_Decision_Records/ADR-005_Save_System/ADR-005_Save_System_RU_v1_Complete.docx</x:v>
      </x:c>
      <x:c r="B160" s="81" t="str">
        <x:v>docx</x:v>
      </x:c>
      <x:c r="C160" s="81" t="str">
        <x:v>ADR-005</x:v>
      </x:c>
      <x:c r="D160" s="81" t="str">
        <x:v>RU</x:v>
      </x:c>
      <x:c r="E160" s="81" t="str">
        <x:v>Archived document</x:v>
      </x:c>
      <x:c r="F160" s="83" t="n">
        <x:v>1</x:v>
      </x:c>
      <x:c r="G160" s="81" t="str">
        <x:v>ADR-005_Save_System_RU_v3_0_Full_Content_Audited_Complete.docx</x:v>
      </x:c>
      <x:c r="H160" s="81" t="str">
        <x:v>Archive</x:v>
      </x:c>
      <x:c r="I160" s="83" t="n">
        <x:v>64594</x:v>
      </x:c>
      <x:c r="J160" s="81" t="str">
        <x:v>fceeea1f667c8370d028e671f876acfe1f8557ba7b4e53b180f9f108eff0c86c</x:v>
      </x:c>
      <x:c r="K160" s="81" t="str">
        <x:v>Covered</x:v>
      </x:c>
      <x:c r="L160" s="81" t="str">
        <x:v>docs/02_Architecture_Decision_Records/ADR-005_Save_System/ADR-005_Save_System_RU_v3_0_Full_Content_Audited_Complete.docx</x:v>
      </x:c>
      <x:c r="M160" s="83" t="n">
        <x:v>0</x:v>
      </x:c>
    </x:row>
    <x:row r="161" ht="21.600000381469727" hidden="0" customHeight="1">
      <x:c r="A161" s="80" t="str">
        <x:v>docs/99_Archive/02_Architecture_Decision_Records/ADR-006_Plugin_Detection/ADR-006_Plugin_Detection_Clarification_DE_v1_1_Proposed.docx</x:v>
      </x:c>
      <x:c r="B161" s="80" t="str">
        <x:v>docx</x:v>
      </x:c>
      <x:c r="C161" s="80" t="str">
        <x:v>ADR-006</x:v>
      </x:c>
      <x:c r="D161" s="80" t="str">
        <x:v>DE</x:v>
      </x:c>
      <x:c r="E161" s="80" t="str">
        <x:v>Archived document</x:v>
      </x:c>
      <x:c r="F161" s="82" t="n">
        <x:v>1</x:v>
      </x:c>
      <x:c r="G161" s="80" t="str">
        <x:v>ADR-006_Plugin_Detection_DE_v3_0_Full_Content_Audited_Complete.docx</x:v>
      </x:c>
      <x:c r="H161" s="80" t="str">
        <x:v>Archive</x:v>
      </x:c>
      <x:c r="I161" s="82" t="n">
        <x:v>38941</x:v>
      </x:c>
      <x:c r="J161" s="80" t="str">
        <x:v>d4f7f03a825471487e478cc31f254bddbf69427fd71c90aee627f1a02e168f4a</x:v>
      </x:c>
      <x:c r="K161" s="80" t="str">
        <x:v>Covered</x:v>
      </x:c>
      <x:c r="L161" s="80" t="str">
        <x:v>docs/02_Architecture_Decision_Records/ADR-006_Plugin_Detection/ADR-006_Plugin_Detection_DE_v3_0_Full_Content_Audited_Complete.docx</x:v>
      </x:c>
      <x:c r="M161" s="82" t="n">
        <x:v>0</x:v>
      </x:c>
    </x:row>
    <x:row r="162" ht="21.600000381469727" hidden="0" customHeight="1">
      <x:c r="A162" s="81" t="str">
        <x:v>docs/99_Archive/02_Architecture_Decision_Records/ADR-006_Plugin_Detection/ADR-006_Plugin_Detection_Clarification_RU_v1_1_Proposed.docx</x:v>
      </x:c>
      <x:c r="B162" s="81" t="str">
        <x:v>docx</x:v>
      </x:c>
      <x:c r="C162" s="81" t="str">
        <x:v>ADR-006</x:v>
      </x:c>
      <x:c r="D162" s="81" t="str">
        <x:v>RU</x:v>
      </x:c>
      <x:c r="E162" s="81" t="str">
        <x:v>Archived document</x:v>
      </x:c>
      <x:c r="F162" s="83" t="n">
        <x:v>1</x:v>
      </x:c>
      <x:c r="G162" s="81" t="str">
        <x:v>ADR-006_Plugin_Detection_RU_v3_0_Full_Content_Audited_Complete.docx</x:v>
      </x:c>
      <x:c r="H162" s="81" t="str">
        <x:v>Archive</x:v>
      </x:c>
      <x:c r="I162" s="83" t="n">
        <x:v>39192</x:v>
      </x:c>
      <x:c r="J162" s="81" t="str">
        <x:v>9ae2f8b8196696f00bff5e99589a56e076ca98a5c0c526bcde2be73d40541171</x:v>
      </x:c>
      <x:c r="K162" s="81" t="str">
        <x:v>Covered</x:v>
      </x:c>
      <x:c r="L162" s="81" t="str">
        <x:v>docs/02_Architecture_Decision_Records/ADR-006_Plugin_Detection/ADR-006_Plugin_Detection_RU_v3_0_Full_Content_Audited_Complete.docx</x:v>
      </x:c>
      <x:c r="M162" s="83" t="n">
        <x:v>0</x:v>
      </x:c>
    </x:row>
    <x:row r="163" ht="21.600000381469727" hidden="0" customHeight="1">
      <x:c r="A163" s="80" t="str">
        <x:v>docs/99_Archive/02_Architecture_Decision_Records/ADR-006_Plugin_Detection/ADR-006_Plugin_Detection_DE_v1_Complete.docx</x:v>
      </x:c>
      <x:c r="B163" s="80" t="str">
        <x:v>docx</x:v>
      </x:c>
      <x:c r="C163" s="80" t="str">
        <x:v>ADR-006</x:v>
      </x:c>
      <x:c r="D163" s="80" t="str">
        <x:v>DE</x:v>
      </x:c>
      <x:c r="E163" s="80" t="str">
        <x:v>Archived document</x:v>
      </x:c>
      <x:c r="F163" s="82" t="n">
        <x:v>1</x:v>
      </x:c>
      <x:c r="G163" s="80" t="str">
        <x:v>ADR-006_Plugin_Detection_DE_v3_0_Full_Content_Audited_Complete.docx</x:v>
      </x:c>
      <x:c r="H163" s="80" t="str">
        <x:v>Archive</x:v>
      </x:c>
      <x:c r="I163" s="82" t="n">
        <x:v>59102</x:v>
      </x:c>
      <x:c r="J163" s="80" t="str">
        <x:v>05b83d8e6d9d1a7f9048411ba9979df6deb273101440168e8e564c2f82947fc3</x:v>
      </x:c>
      <x:c r="K163" s="80" t="str">
        <x:v>Covered</x:v>
      </x:c>
      <x:c r="L163" s="80" t="str">
        <x:v>docs/02_Architecture_Decision_Records/ADR-006_Plugin_Detection/ADR-006_Plugin_Detection_DE_v3_0_Full_Content_Audited_Complete.docx</x:v>
      </x:c>
      <x:c r="M163" s="82" t="n">
        <x:v>0</x:v>
      </x:c>
    </x:row>
    <x:row r="164" ht="21.600000381469727" hidden="0" customHeight="1">
      <x:c r="A164" s="81" t="str">
        <x:v>docs/99_Archive/02_Architecture_Decision_Records/ADR-006_Plugin_Detection/ADR-006_Plugin_Detection_RU_v1_Complete.docx</x:v>
      </x:c>
      <x:c r="B164" s="81" t="str">
        <x:v>docx</x:v>
      </x:c>
      <x:c r="C164" s="81" t="str">
        <x:v>ADR-006</x:v>
      </x:c>
      <x:c r="D164" s="81" t="str">
        <x:v>RU</x:v>
      </x:c>
      <x:c r="E164" s="81" t="str">
        <x:v>Archived document</x:v>
      </x:c>
      <x:c r="F164" s="83" t="n">
        <x:v>1</x:v>
      </x:c>
      <x:c r="G164" s="81" t="str">
        <x:v>ADR-006_Plugin_Detection_RU_v3_0_Full_Content_Audited_Complete.docx</x:v>
      </x:c>
      <x:c r="H164" s="81" t="str">
        <x:v>Archive</x:v>
      </x:c>
      <x:c r="I164" s="83" t="n">
        <x:v>63823</x:v>
      </x:c>
      <x:c r="J164" s="81" t="str">
        <x:v>daa6843191e2da2900c2ae6b0de8b3a9fa2b68a8fa096283602e5e1a0bddc132</x:v>
      </x:c>
      <x:c r="K164" s="81" t="str">
        <x:v>Covered</x:v>
      </x:c>
      <x:c r="L164" s="81" t="str">
        <x:v>docs/02_Architecture_Decision_Records/ADR-006_Plugin_Detection/ADR-006_Plugin_Detection_RU_v3_0_Full_Content_Audited_Complete.docx</x:v>
      </x:c>
      <x:c r="M164" s="83" t="n">
        <x:v>0</x:v>
      </x:c>
    </x:row>
    <x:row r="165" ht="21.600000381469727" hidden="0" customHeight="1">
      <x:c r="A165" s="80" t="str">
        <x:v>docs/99_Archive/02_Architecture_Decision_Records/ADR-007_Multi_Game_Support/ADR-007_Multi_Game_Support_Amendment_DE_v1_1_Proposed.docx</x:v>
      </x:c>
      <x:c r="B165" s="80" t="str">
        <x:v>docx</x:v>
      </x:c>
      <x:c r="C165" s="80" t="str">
        <x:v>ADR-007</x:v>
      </x:c>
      <x:c r="D165" s="80" t="str">
        <x:v>DE</x:v>
      </x:c>
      <x:c r="E165" s="80" t="str">
        <x:v>Archived document</x:v>
      </x:c>
      <x:c r="F165" s="82" t="n">
        <x:v>1</x:v>
      </x:c>
      <x:c r="G165" s="80" t="str">
        <x:v>ADR-007_Multi_Game_Support_DE_v3_0_Full_Content_Audited_Complete.docx</x:v>
      </x:c>
      <x:c r="H165" s="80" t="str">
        <x:v>Archive</x:v>
      </x:c>
      <x:c r="I165" s="82" t="n">
        <x:v>38988</x:v>
      </x:c>
      <x:c r="J165" s="80" t="str">
        <x:v>d6b90187e902513d7445c5b87eda1c7229c03981c7335b0d460d24f464ffe385</x:v>
      </x:c>
      <x:c r="K165" s="80" t="str">
        <x:v>Covered</x:v>
      </x:c>
      <x:c r="L165" s="80" t="str">
        <x:v>docs/02_Architecture_Decision_Records/ADR-007_Multi_Game_Support/ADR-007_Multi_Game_Support_DE_v3_0_Full_Content_Audited_Complete.docx</x:v>
      </x:c>
      <x:c r="M165" s="82" t="n">
        <x:v>0</x:v>
      </x:c>
    </x:row>
    <x:row r="166" ht="21.600000381469727" hidden="0" customHeight="1">
      <x:c r="A166" s="81" t="str">
        <x:v>docs/99_Archive/02_Architecture_Decision_Records/ADR-007_Multi_Game_Support/ADR-007_Multi_Game_Support_Amendment_RU_v1_1_Proposed.docx</x:v>
      </x:c>
      <x:c r="B166" s="81" t="str">
        <x:v>docx</x:v>
      </x:c>
      <x:c r="C166" s="81" t="str">
        <x:v>ADR-007</x:v>
      </x:c>
      <x:c r="D166" s="81" t="str">
        <x:v>RU</x:v>
      </x:c>
      <x:c r="E166" s="81" t="str">
        <x:v>Archived document</x:v>
      </x:c>
      <x:c r="F166" s="83" t="n">
        <x:v>1</x:v>
      </x:c>
      <x:c r="G166" s="81" t="str">
        <x:v>ADR-007_Multi_Game_Support_RU_v3_0_Full_Content_Audited_Complete.docx</x:v>
      </x:c>
      <x:c r="H166" s="81" t="str">
        <x:v>Archive</x:v>
      </x:c>
      <x:c r="I166" s="83" t="n">
        <x:v>39195</x:v>
      </x:c>
      <x:c r="J166" s="81" t="str">
        <x:v>307ac41c89bb595751e5fdf2e9065506f91793f02e9d509a2d21b8dfba04beaa</x:v>
      </x:c>
      <x:c r="K166" s="81" t="str">
        <x:v>Covered</x:v>
      </x:c>
      <x:c r="L166" s="81" t="str">
        <x:v>docs/02_Architecture_Decision_Records/ADR-007_Multi_Game_Support/ADR-007_Multi_Game_Support_RU_v3_0_Full_Content_Audited_Complete.docx</x:v>
      </x:c>
      <x:c r="M166" s="83" t="n">
        <x:v>0</x:v>
      </x:c>
    </x:row>
    <x:row r="167" ht="21.600000381469727" hidden="0" customHeight="1">
      <x:c r="A167" s="80" t="str">
        <x:v>docs/99_Archive/02_Architecture_Decision_Records/ADR-007_Multi_Game_Support/ADR-007_Multi_Game_Support_DE_v1_Complete.docx</x:v>
      </x:c>
      <x:c r="B167" s="80" t="str">
        <x:v>docx</x:v>
      </x:c>
      <x:c r="C167" s="80" t="str">
        <x:v>ADR-007</x:v>
      </x:c>
      <x:c r="D167" s="80" t="str">
        <x:v>DE</x:v>
      </x:c>
      <x:c r="E167" s="80" t="str">
        <x:v>Archived document</x:v>
      </x:c>
      <x:c r="F167" s="82" t="n">
        <x:v>1</x:v>
      </x:c>
      <x:c r="G167" s="80" t="str">
        <x:v>ADR-007_Multi_Game_Support_DE_v3_0_Full_Content_Audited_Complete.docx</x:v>
      </x:c>
      <x:c r="H167" s="80" t="str">
        <x:v>Archive</x:v>
      </x:c>
      <x:c r="I167" s="82" t="n">
        <x:v>58624</x:v>
      </x:c>
      <x:c r="J167" s="80" t="str">
        <x:v>5fed1967aa804a0a886346034dedee7a0a080ac198e8ea8e9c0594ed7c597742</x:v>
      </x:c>
      <x:c r="K167" s="80" t="str">
        <x:v>Covered</x:v>
      </x:c>
      <x:c r="L167" s="80" t="str">
        <x:v>docs/02_Architecture_Decision_Records/ADR-007_Multi_Game_Support/ADR-007_Multi_Game_Support_DE_v3_0_Full_Content_Audited_Complete.docx</x:v>
      </x:c>
      <x:c r="M167" s="82" t="n">
        <x:v>0</x:v>
      </x:c>
    </x:row>
    <x:row r="168" ht="21.600000381469727" hidden="0" customHeight="1">
      <x:c r="A168" s="81" t="str">
        <x:v>docs/99_Archive/02_Architecture_Decision_Records/ADR-007_Multi_Game_Support/ADR-007_Multi_Game_Support_RU_v1_Complete.docx</x:v>
      </x:c>
      <x:c r="B168" s="81" t="str">
        <x:v>docx</x:v>
      </x:c>
      <x:c r="C168" s="81" t="str">
        <x:v>ADR-007</x:v>
      </x:c>
      <x:c r="D168" s="81" t="str">
        <x:v>RU</x:v>
      </x:c>
      <x:c r="E168" s="81" t="str">
        <x:v>Archived document</x:v>
      </x:c>
      <x:c r="F168" s="83" t="n">
        <x:v>1</x:v>
      </x:c>
      <x:c r="G168" s="81" t="str">
        <x:v>ADR-007_Multi_Game_Support_RU_v3_0_Full_Content_Audited_Complete.docx</x:v>
      </x:c>
      <x:c r="H168" s="81" t="str">
        <x:v>Archive</x:v>
      </x:c>
      <x:c r="I168" s="83" t="n">
        <x:v>62718</x:v>
      </x:c>
      <x:c r="J168" s="81" t="str">
        <x:v>4d2d67df8e01ed87f6f4169721c2cf0f051a9560e77864d111ba6e4e5d91156c</x:v>
      </x:c>
      <x:c r="K168" s="81" t="str">
        <x:v>Covered</x:v>
      </x:c>
      <x:c r="L168" s="81" t="str">
        <x:v>docs/02_Architecture_Decision_Records/ADR-007_Multi_Game_Support/ADR-007_Multi_Game_Support_RU_v3_0_Full_Content_Audited_Complete.docx</x:v>
      </x:c>
      <x:c r="M168" s="83" t="n">
        <x:v>0</x:v>
      </x:c>
    </x:row>
    <x:row r="169" ht="15" hidden="0" customHeight="1">
      <x:c r="A169" s="80" t="str">
        <x:v>docs/99_Archive/03_Modules/MOD-001_Core/MOD-001_Core_DE_v1_1_Audited_Complete.docx</x:v>
      </x:c>
      <x:c r="B169" s="80" t="str">
        <x:v>docx</x:v>
      </x:c>
      <x:c r="C169" s="80" t="str">
        <x:v>MOD-001</x:v>
      </x:c>
      <x:c r="D169" s="80" t="str">
        <x:v>DE</x:v>
      </x:c>
      <x:c r="E169" s="80" t="str">
        <x:v>Archived document</x:v>
      </x:c>
      <x:c r="F169" s="82" t="n">
        <x:v>1</x:v>
      </x:c>
      <x:c r="G169" s="80" t="str">
        <x:v>MOD-001_Core_DE_v2_0_Full_Content_Audited_Complete.docx</x:v>
      </x:c>
      <x:c r="H169" s="80" t="str">
        <x:v>Archive</x:v>
      </x:c>
      <x:c r="I169" s="82" t="n">
        <x:v>86716</x:v>
      </x:c>
      <x:c r="J169" s="80" t="str">
        <x:v>7eca4c7f7b9b5adecbbfe4acfe17d0117eff3618d938996956780c6cef23b9bd</x:v>
      </x:c>
      <x:c r="K169" s="80" t="str">
        <x:v>Covered</x:v>
      </x:c>
      <x:c r="L169" s="80" t="str">
        <x:v>docs/03_Modules/MOD-001_Core/MOD-001_Core_DE_v2_0_Full_Content_Audited_Complete.docx</x:v>
      </x:c>
      <x:c r="M169" s="82" t="n">
        <x:v>0</x:v>
      </x:c>
    </x:row>
    <x:row r="170" ht="15" hidden="0" customHeight="1">
      <x:c r="A170" s="81" t="str">
        <x:v>docs/99_Archive/03_Modules/MOD-001_Core/MOD-001_Core_RU_v1_1_Audited_Complete.docx</x:v>
      </x:c>
      <x:c r="B170" s="81" t="str">
        <x:v>docx</x:v>
      </x:c>
      <x:c r="C170" s="81" t="str">
        <x:v>MOD-001</x:v>
      </x:c>
      <x:c r="D170" s="81" t="str">
        <x:v>RU</x:v>
      </x:c>
      <x:c r="E170" s="81" t="str">
        <x:v>Archived document</x:v>
      </x:c>
      <x:c r="F170" s="83" t="n">
        <x:v>1</x:v>
      </x:c>
      <x:c r="G170" s="81" t="str">
        <x:v>MOD-001_Core_RU_v2_0_Full_Content_Audited_Complete.docx</x:v>
      </x:c>
      <x:c r="H170" s="81" t="str">
        <x:v>Archive</x:v>
      </x:c>
      <x:c r="I170" s="83" t="n">
        <x:v>92397</x:v>
      </x:c>
      <x:c r="J170" s="81" t="str">
        <x:v>b68a3d028a43ba75ad36cd05c7975b5383dac9750d61502651f0339077bc98c8</x:v>
      </x:c>
      <x:c r="K170" s="81" t="str">
        <x:v>Covered</x:v>
      </x:c>
      <x:c r="L170" s="81" t="str">
        <x:v>docs/03_Modules/MOD-001_Core/MOD-001_Core_RU_v2_0_Full_Content_Audited_Complete.docx</x:v>
      </x:c>
      <x:c r="M170" s="83" t="n">
        <x:v>0</x:v>
      </x:c>
    </x:row>
  </x:sheetData>
  <x:conditionalFormatting sqref="K5:K170">
    <x:cfRule type="containsText" dxfId="13" priority="1" operator="containsText" text="Covered"/>
  </x:conditionalFormatting>
  <x:pageMargins left="0.7" right="0.7" top="0.75" bottom="0.75" header="0.3" footer="0.3"/>
  <x:tableParts count="1">
    <x:tablePart xmlns:r="http://schemas.openxmlformats.org/officeDocument/2006/relationships" r:id="Rf8b1a9c5bcfa4a19"/>
  </x:tableParts>
</x:worksheet>
</file>

<file path=xl/worksheets/sheet4.xml><?xml version="1.0" encoding="utf-8"?>
<x:worksheet xmlns:x="http://schemas.openxmlformats.org/spreadsheetml/2006/main">
  <x:sheetPr>
    <x:tabColor rgb="FF3F3296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0" hidden="0" customWidth="1"/>
    <x:col min="4" max="4" width="62" hidden="0" customWidth="1"/>
    <x:col min="5" max="5" width="72" hidden="0" customWidth="1"/>
    <x:col min="6" max="6" width="14" hidden="0" customWidth="1"/>
    <x:col min="7" max="7" width="10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4" hidden="0" customWidth="1"/>
    <x:col min="14" max="14" width="12" hidden="0" customWidth="1"/>
    <x:col min="15" max="15" width="14" hidden="0" customWidth="1"/>
    <x:col min="16" max="16" width="16" hidden="0" customWidth="1"/>
    <x:col min="17" max="17" width="14" hidden="0" customWidth="1"/>
    <x:col min="18" max="18" width="14" hidden="0" customWidth="1"/>
  </x:cols>
  <x:sheetData>
    <x:row r="1" ht="26" customHeight="1">
      <x:c r="A1" s="61" t="str">
        <x:v>Output document QA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0" customHeight="1">
      <x:c r="A2" s="62" t="str">
        <x:v>Structural, accessibility and post-export page checks for all 59 complete DOCX documents.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</x:row>
    <x:row r="4" ht="34" customHeight="1">
      <x:c r="A4" s="74" t="str">
        <x:v>ID</x:v>
      </x:c>
      <x:c r="B4" s="75" t="str">
        <x:v>Language</x:v>
      </x:c>
      <x:c r="C4" s="75" t="str">
        <x:v>Version</x:v>
      </x:c>
      <x:c r="D4" s="75" t="str">
        <x:v>Output document</x:v>
      </x:c>
      <x:c r="E4" s="75" t="str">
        <x:v>Repository destination</x:v>
      </x:c>
      <x:c r="F4" s="75" t="str">
        <x:v>Bytes</x:v>
      </x:c>
      <x:c r="G4" s="75" t="str">
        <x:v>Pages</x:v>
      </x:c>
      <x:c r="H4" s="75" t="str">
        <x:v>Words</x:v>
      </x:c>
      <x:c r="I4" s="75" t="str">
        <x:v>Paragraphs</x:v>
      </x:c>
      <x:c r="J4" s="75" t="str">
        <x:v>Tables</x:v>
      </x:c>
      <x:c r="K4" s="75" t="str">
        <x:v>Headings</x:v>
      </x:c>
      <x:c r="L4" s="75" t="str">
        <x:v>Images</x:v>
      </x:c>
      <x:c r="M4" s="75" t="str">
        <x:v>Coverage rows</x:v>
      </x:c>
      <x:c r="N4" s="75" t="str">
        <x:v>A11y high</x:v>
      </x:c>
      <x:c r="O4" s="75" t="str">
        <x:v>A11y medium</x:v>
      </x:c>
      <x:c r="P4" s="75" t="str">
        <x:v>Structural QA</x:v>
      </x:c>
      <x:c r="Q4" s="75" t="str">
        <x:v>Page QA</x:v>
      </x:c>
      <x:c r="R4" s="76" t="str">
        <x:v>Overall</x:v>
      </x:c>
    </x:row>
    <x:row r="5" ht="15" hidden="0" customHeight="1">
      <x:c r="A5" s="80" t="str">
        <x:v>DOC-001</x:v>
      </x:c>
      <x:c r="B5" s="80" t="str">
        <x:v>RU</x:v>
      </x:c>
      <x:c r="C5" s="80" t="str">
        <x:v>3.0</x:v>
      </x:c>
      <x:c r="D5" s="80" t="str">
        <x:v>DOC-001_Vision_RU_v3_0_Full_Content_Audited_Complete.docx</x:v>
      </x:c>
      <x:c r="E5" s="80" t="str">
        <x:v>docs/00_Project_Management/DOC-001_Vision_RU_v3_0_Full_Content_Audited_Complete.docx</x:v>
      </x:c>
      <x:c r="F5" s="82" t="n">
        <x:v>2669508</x:v>
      </x:c>
      <x:c r="G5" s="82" t="n">
        <x:v>5</x:v>
      </x:c>
      <x:c r="H5" s="82" t="n">
        <x:v>447</x:v>
      </x:c>
      <x:c r="I5" s="82" t="n">
        <x:v>57</x:v>
      </x:c>
      <x:c r="J5" s="82" t="n">
        <x:v>4</x:v>
      </x:c>
      <x:c r="K5" s="82" t="n">
        <x:v>17</x:v>
      </x:c>
      <x:c r="L5" s="82" t="n">
        <x:v>0</x:v>
      </x:c>
      <x:c r="M5" s="82" t="n">
        <x:v>47</x:v>
      </x:c>
      <x:c r="N5" s="82" t="n">
        <x:v>0</x:v>
      </x:c>
      <x:c r="O5" s="82" t="n">
        <x:v>0</x:v>
      </x:c>
      <x:c r="P5" s="80" t="str">
        <x:v>PASS</x:v>
      </x:c>
      <x:c r="Q5" s="80" t="str">
        <x:v>PASS</x:v>
      </x:c>
      <x:c r="R5" s="80" t="str">
        <x:v>PASS</x:v>
      </x:c>
    </x:row>
    <x:row r="6" ht="15" hidden="0" customHeight="1">
      <x:c r="A6" s="81" t="str">
        <x:v>DOC-001</x:v>
      </x:c>
      <x:c r="B6" s="81" t="str">
        <x:v>DE</x:v>
      </x:c>
      <x:c r="C6" s="81" t="str">
        <x:v>3.0</x:v>
      </x:c>
      <x:c r="D6" s="81" t="str">
        <x:v>DOC-001_Vision_DE_v3_0_Full_Content_Audited_Complete.docx</x:v>
      </x:c>
      <x:c r="E6" s="81" t="str">
        <x:v>docs/00_Project_Management/DOC-001_Vision_DE_v3_0_Full_Content_Audited_Complete.docx</x:v>
      </x:c>
      <x:c r="F6" s="83" t="n">
        <x:v>2668884</x:v>
      </x:c>
      <x:c r="G6" s="83" t="n">
        <x:v>5</x:v>
      </x:c>
      <x:c r="H6" s="83" t="n">
        <x:v>464</x:v>
      </x:c>
      <x:c r="I6" s="83" t="n">
        <x:v>57</x:v>
      </x:c>
      <x:c r="J6" s="83" t="n">
        <x:v>4</x:v>
      </x:c>
      <x:c r="K6" s="83" t="n">
        <x:v>17</x:v>
      </x:c>
      <x:c r="L6" s="83" t="n">
        <x:v>0</x:v>
      </x:c>
      <x:c r="M6" s="83" t="n">
        <x:v>47</x:v>
      </x:c>
      <x:c r="N6" s="83" t="n">
        <x:v>0</x:v>
      </x:c>
      <x:c r="O6" s="83" t="n">
        <x:v>0</x:v>
      </x:c>
      <x:c r="P6" s="81" t="str">
        <x:v>PASS</x:v>
      </x:c>
      <x:c r="Q6" s="81" t="str">
        <x:v>PASS</x:v>
      </x:c>
      <x:c r="R6" s="81" t="str">
        <x:v>PASS</x:v>
      </x:c>
    </x:row>
    <x:row r="7" ht="15" hidden="0" customHeight="1">
      <x:c r="A7" s="80" t="str">
        <x:v>DOC-002</x:v>
      </x:c>
      <x:c r="B7" s="80" t="str">
        <x:v>RU</x:v>
      </x:c>
      <x:c r="C7" s="80" t="str">
        <x:v>3.0</x:v>
      </x:c>
      <x:c r="D7" s="80" t="str">
        <x:v>DOC-002_Project_Principles_RU_v3_0_Full_Content_Audited_Complete.docx</x:v>
      </x:c>
      <x:c r="E7" s="80" t="str">
        <x:v>docs/00_Project_Management/DOC-002_Project_Principles_RU_v3_0_Full_Content_Audited_Complete.docx</x:v>
      </x:c>
      <x:c r="F7" s="82" t="n">
        <x:v>2669429</x:v>
      </x:c>
      <x:c r="G7" s="82" t="n">
        <x:v>5</x:v>
      </x:c>
      <x:c r="H7" s="82" t="n">
        <x:v>413</x:v>
      </x:c>
      <x:c r="I7" s="82" t="n">
        <x:v>36</x:v>
      </x:c>
      <x:c r="J7" s="82" t="n">
        <x:v>5</x:v>
      </x:c>
      <x:c r="K7" s="82" t="n">
        <x:v>15</x:v>
      </x:c>
      <x:c r="L7" s="82" t="n">
        <x:v>0</x:v>
      </x:c>
      <x:c r="M7" s="82" t="n">
        <x:v>28</x:v>
      </x:c>
      <x:c r="N7" s="82" t="n">
        <x:v>0</x:v>
      </x:c>
      <x:c r="O7" s="82" t="n">
        <x:v>0</x:v>
      </x:c>
      <x:c r="P7" s="80" t="str">
        <x:v>PASS</x:v>
      </x:c>
      <x:c r="Q7" s="80" t="str">
        <x:v>PASS</x:v>
      </x:c>
      <x:c r="R7" s="80" t="str">
        <x:v>PASS</x:v>
      </x:c>
    </x:row>
    <x:row r="8" ht="15" hidden="0" customHeight="1">
      <x:c r="A8" s="81" t="str">
        <x:v>DOC-002</x:v>
      </x:c>
      <x:c r="B8" s="81" t="str">
        <x:v>DE</x:v>
      </x:c>
      <x:c r="C8" s="81" t="str">
        <x:v>3.0</x:v>
      </x:c>
      <x:c r="D8" s="81" t="str">
        <x:v>DOC-002_Project_Principles_DE_v3_0_Full_Content_Audited_Complete.docx</x:v>
      </x:c>
      <x:c r="E8" s="81" t="str">
        <x:v>docs/00_Project_Management/DOC-002_Project_Principles_DE_v3_0_Full_Content_Audited_Complete.docx</x:v>
      </x:c>
      <x:c r="F8" s="83" t="n">
        <x:v>2668785</x:v>
      </x:c>
      <x:c r="G8" s="83" t="n">
        <x:v>5</x:v>
      </x:c>
      <x:c r="H8" s="83" t="n">
        <x:v>434</x:v>
      </x:c>
      <x:c r="I8" s="83" t="n">
        <x:v>36</x:v>
      </x:c>
      <x:c r="J8" s="83" t="n">
        <x:v>5</x:v>
      </x:c>
      <x:c r="K8" s="83" t="n">
        <x:v>15</x:v>
      </x:c>
      <x:c r="L8" s="83" t="n">
        <x:v>0</x:v>
      </x:c>
      <x:c r="M8" s="83" t="n">
        <x:v>28</x:v>
      </x:c>
      <x:c r="N8" s="83" t="n">
        <x:v>0</x:v>
      </x:c>
      <x:c r="O8" s="83" t="n">
        <x:v>0</x:v>
      </x:c>
      <x:c r="P8" s="81" t="str">
        <x:v>PASS</x:v>
      </x:c>
      <x:c r="Q8" s="81" t="str">
        <x:v>PASS</x:v>
      </x:c>
      <x:c r="R8" s="81" t="str">
        <x:v>PASS</x:v>
      </x:c>
    </x:row>
    <x:row r="9" ht="15" hidden="0" customHeight="1">
      <x:c r="A9" s="80" t="str">
        <x:v>DOC-003</x:v>
      </x:c>
      <x:c r="B9" s="80" t="str">
        <x:v>RU</x:v>
      </x:c>
      <x:c r="C9" s="80" t="str">
        <x:v>4.0</x:v>
      </x:c>
      <x:c r="D9" s="80" t="str">
        <x:v>DOC-003_Product_Roadmap_RU_v4_0_Full_Content_Audited_Complete.docx</x:v>
      </x:c>
      <x:c r="E9" s="80" t="str">
        <x:v>docs/00_Project_Management/DOC-003_Product_Roadmap_RU_v4_0_Full_Content_Audited_Complete.docx</x:v>
      </x:c>
      <x:c r="F9" s="82" t="n">
        <x:v>2675312</x:v>
      </x:c>
      <x:c r="G9" s="82" t="n">
        <x:v>10</x:v>
      </x:c>
      <x:c r="H9" s="82" t="n">
        <x:v>1470</x:v>
      </x:c>
      <x:c r="I9" s="82" t="n">
        <x:v>108</x:v>
      </x:c>
      <x:c r="J9" s="82" t="n">
        <x:v>10</x:v>
      </x:c>
      <x:c r="K9" s="82" t="n">
        <x:v>30</x:v>
      </x:c>
      <x:c r="L9" s="82" t="n">
        <x:v>0</x:v>
      </x:c>
      <x:c r="M9" s="82" t="n">
        <x:v>111</x:v>
      </x:c>
      <x:c r="N9" s="82" t="n">
        <x:v>0</x:v>
      </x:c>
      <x:c r="O9" s="82" t="n">
        <x:v>0</x:v>
      </x:c>
      <x:c r="P9" s="80" t="str">
        <x:v>PASS</x:v>
      </x:c>
      <x:c r="Q9" s="80" t="str">
        <x:v>PASS</x:v>
      </x:c>
      <x:c r="R9" s="80" t="str">
        <x:v>PASS</x:v>
      </x:c>
    </x:row>
    <x:row r="10" ht="15" hidden="0" customHeight="1">
      <x:c r="A10" s="81" t="str">
        <x:v>DOC-003</x:v>
      </x:c>
      <x:c r="B10" s="81" t="str">
        <x:v>DE</x:v>
      </x:c>
      <x:c r="C10" s="81" t="str">
        <x:v>4.0</x:v>
      </x:c>
      <x:c r="D10" s="81" t="str">
        <x:v>DOC-003_Product_Roadmap_DE_v4_0_Full_Content_Audited_Complete.docx</x:v>
      </x:c>
      <x:c r="E10" s="81" t="str">
        <x:v>docs/00_Project_Management/DOC-003_Product_Roadmap_DE_v4_0_Full_Content_Audited_Complete.docx</x:v>
      </x:c>
      <x:c r="F10" s="83" t="n">
        <x:v>2673896</x:v>
      </x:c>
      <x:c r="G10" s="83" t="n">
        <x:v>11</x:v>
      </x:c>
      <x:c r="H10" s="83" t="n">
        <x:v>1494</x:v>
      </x:c>
      <x:c r="I10" s="83" t="n">
        <x:v>110</x:v>
      </x:c>
      <x:c r="J10" s="83" t="n">
        <x:v>10</x:v>
      </x:c>
      <x:c r="K10" s="83" t="n">
        <x:v>32</x:v>
      </x:c>
      <x:c r="L10" s="83" t="n">
        <x:v>0</x:v>
      </x:c>
      <x:c r="M10" s="83" t="n">
        <x:v>111</x:v>
      </x:c>
      <x:c r="N10" s="83" t="n">
        <x:v>0</x:v>
      </x:c>
      <x:c r="O10" s="83" t="n">
        <x:v>0</x:v>
      </x:c>
      <x:c r="P10" s="81" t="str">
        <x:v>PASS</x:v>
      </x:c>
      <x:c r="Q10" s="81" t="str">
        <x:v>PASS</x:v>
      </x:c>
      <x:c r="R10" s="81" t="str">
        <x:v>PASS</x:v>
      </x:c>
    </x:row>
    <x:row r="11" ht="15" hidden="0" customHeight="1">
      <x:c r="A11" s="80" t="str">
        <x:v>DOC-004</x:v>
      </x:c>
      <x:c r="B11" s="80" t="str">
        <x:v>RU</x:v>
      </x:c>
      <x:c r="C11" s="80" t="str">
        <x:v>3.0</x:v>
      </x:c>
      <x:c r="D11" s="80" t="str">
        <x:v>DOC-004_Implementation_Roadmap_RU_v3_0_Full_Content_Audited_Complete.docx</x:v>
      </x:c>
      <x:c r="E11" s="80" t="str">
        <x:v>docs/00_Project_Management/DOC-004_Implementation_Roadmap_RU_v3_0_Full_Content_Audited_Complete.docx</x:v>
      </x:c>
      <x:c r="F11" s="82" t="n">
        <x:v>2673492</x:v>
      </x:c>
      <x:c r="G11" s="82" t="n">
        <x:v>8</x:v>
      </x:c>
      <x:c r="H11" s="82" t="n">
        <x:v>1115</x:v>
      </x:c>
      <x:c r="I11" s="82" t="n">
        <x:v>76</x:v>
      </x:c>
      <x:c r="J11" s="82" t="n">
        <x:v>9</x:v>
      </x:c>
      <x:c r="K11" s="82" t="n">
        <x:v>24</x:v>
      </x:c>
      <x:c r="L11" s="82" t="n">
        <x:v>0</x:v>
      </x:c>
      <x:c r="M11" s="82" t="n">
        <x:v>75</x:v>
      </x:c>
      <x:c r="N11" s="82" t="n">
        <x:v>0</x:v>
      </x:c>
      <x:c r="O11" s="82" t="n">
        <x:v>0</x:v>
      </x:c>
      <x:c r="P11" s="80" t="str">
        <x:v>PASS</x:v>
      </x:c>
      <x:c r="Q11" s="80" t="str">
        <x:v>PASS</x:v>
      </x:c>
      <x:c r="R11" s="80" t="str">
        <x:v>PASS</x:v>
      </x:c>
    </x:row>
    <x:row r="12" ht="15" hidden="0" customHeight="1">
      <x:c r="A12" s="81" t="str">
        <x:v>DOC-004</x:v>
      </x:c>
      <x:c r="B12" s="81" t="str">
        <x:v>DE</x:v>
      </x:c>
      <x:c r="C12" s="81" t="str">
        <x:v>3.0</x:v>
      </x:c>
      <x:c r="D12" s="81" t="str">
        <x:v>DOC-004_Implementation_Roadmap_DE_v3_0_Full_Content_Audited_Complete.docx</x:v>
      </x:c>
      <x:c r="E12" s="81" t="str">
        <x:v>docs/00_Project_Management/DOC-004_Implementation_Roadmap_DE_v3_0_Full_Content_Audited_Complete.docx</x:v>
      </x:c>
      <x:c r="F12" s="83" t="n">
        <x:v>2672335</x:v>
      </x:c>
      <x:c r="G12" s="83" t="n">
        <x:v>8</x:v>
      </x:c>
      <x:c r="H12" s="83" t="n">
        <x:v>1145</x:v>
      </x:c>
      <x:c r="I12" s="83" t="n">
        <x:v>76</x:v>
      </x:c>
      <x:c r="J12" s="83" t="n">
        <x:v>9</x:v>
      </x:c>
      <x:c r="K12" s="83" t="n">
        <x:v>24</x:v>
      </x:c>
      <x:c r="L12" s="83" t="n">
        <x:v>0</x:v>
      </x:c>
      <x:c r="M12" s="83" t="n">
        <x:v>75</x:v>
      </x:c>
      <x:c r="N12" s="83" t="n">
        <x:v>0</x:v>
      </x:c>
      <x:c r="O12" s="83" t="n">
        <x:v>0</x:v>
      </x:c>
      <x:c r="P12" s="81" t="str">
        <x:v>PASS</x:v>
      </x:c>
      <x:c r="Q12" s="81" t="str">
        <x:v>PASS</x:v>
      </x:c>
      <x:c r="R12" s="81" t="str">
        <x:v>PASS</x:v>
      </x:c>
    </x:row>
    <x:row r="13" ht="15" hidden="0" customHeight="1">
      <x:c r="A13" s="80" t="str">
        <x:v>DOC-005</x:v>
      </x:c>
      <x:c r="B13" s="80" t="str">
        <x:v>RU</x:v>
      </x:c>
      <x:c r="C13" s="80" t="str">
        <x:v>3.0</x:v>
      </x:c>
      <x:c r="D13" s="80" t="str">
        <x:v>DOC-005_Project_Charter_RU_v3_0_Full_Content_Audited_Complete.docx</x:v>
      </x:c>
      <x:c r="E13" s="80" t="str">
        <x:v>docs/00_Project_Management/DOC-005_Project_Charter_RU_v3_0_Full_Content_Audited_Complete.docx</x:v>
      </x:c>
      <x:c r="F13" s="82" t="n">
        <x:v>2672753</x:v>
      </x:c>
      <x:c r="G13" s="82" t="n">
        <x:v>8</x:v>
      </x:c>
      <x:c r="H13" s="82" t="n">
        <x:v>1188</x:v>
      </x:c>
      <x:c r="I13" s="82" t="n">
        <x:v>104</x:v>
      </x:c>
      <x:c r="J13" s="82" t="n">
        <x:v>9</x:v>
      </x:c>
      <x:c r="K13" s="82" t="n">
        <x:v>28</x:v>
      </x:c>
      <x:c r="L13" s="82" t="n">
        <x:v>0</x:v>
      </x:c>
      <x:c r="M13" s="82" t="n">
        <x:v>102</x:v>
      </x:c>
      <x:c r="N13" s="82" t="n">
        <x:v>0</x:v>
      </x:c>
      <x:c r="O13" s="82" t="n">
        <x:v>0</x:v>
      </x:c>
      <x:c r="P13" s="80" t="str">
        <x:v>PASS</x:v>
      </x:c>
      <x:c r="Q13" s="80" t="str">
        <x:v>PASS</x:v>
      </x:c>
      <x:c r="R13" s="80" t="str">
        <x:v>PASS</x:v>
      </x:c>
    </x:row>
    <x:row r="14" ht="15" hidden="0" customHeight="1">
      <x:c r="A14" s="81" t="str">
        <x:v>DOC-005</x:v>
      </x:c>
      <x:c r="B14" s="81" t="str">
        <x:v>DE</x:v>
      </x:c>
      <x:c r="C14" s="81" t="str">
        <x:v>3.0</x:v>
      </x:c>
      <x:c r="D14" s="81" t="str">
        <x:v>DOC-005_Project_Charter_DE_v3_0_Full_Content_Audited_Complete.docx</x:v>
      </x:c>
      <x:c r="E14" s="81" t="str">
        <x:v>docs/00_Project_Management/DOC-005_Project_Charter_DE_v3_0_Full_Content_Audited_Complete.docx</x:v>
      </x:c>
      <x:c r="F14" s="83" t="n">
        <x:v>2672096</x:v>
      </x:c>
      <x:c r="G14" s="83" t="n">
        <x:v>9</x:v>
      </x:c>
      <x:c r="H14" s="83" t="n">
        <x:v>1136</x:v>
      </x:c>
      <x:c r="I14" s="83" t="n">
        <x:v>104</x:v>
      </x:c>
      <x:c r="J14" s="83" t="n">
        <x:v>9</x:v>
      </x:c>
      <x:c r="K14" s="83" t="n">
        <x:v>28</x:v>
      </x:c>
      <x:c r="L14" s="83" t="n">
        <x:v>0</x:v>
      </x:c>
      <x:c r="M14" s="83" t="n">
        <x:v>102</x:v>
      </x:c>
      <x:c r="N14" s="83" t="n">
        <x:v>0</x:v>
      </x:c>
      <x:c r="O14" s="83" t="n">
        <x:v>0</x:v>
      </x:c>
      <x:c r="P14" s="81" t="str">
        <x:v>PASS</x:v>
      </x:c>
      <x:c r="Q14" s="81" t="str">
        <x:v>PASS</x:v>
      </x:c>
      <x:c r="R14" s="81" t="str">
        <x:v>PASS</x:v>
      </x:c>
    </x:row>
    <x:row r="15" ht="15" hidden="0" customHeight="1">
      <x:c r="A15" s="80" t="str">
        <x:v>DOC-006</x:v>
      </x:c>
      <x:c r="B15" s="80" t="str">
        <x:v>RU</x:v>
      </x:c>
      <x:c r="C15" s="80" t="str">
        <x:v>4.0</x:v>
      </x:c>
      <x:c r="D15" s="80" t="str">
        <x:v>DOC-006_Project_Scope_RU_v4_0_Full_Content_Audited_Complete.docx</x:v>
      </x:c>
      <x:c r="E15" s="80" t="str">
        <x:v>docs/00_Project_Management/DOC-006_Project_Scope_RU_v4_0_Full_Content_Audited_Complete.docx</x:v>
      </x:c>
      <x:c r="F15" s="82" t="n">
        <x:v>2671731</x:v>
      </x:c>
      <x:c r="G15" s="82" t="n">
        <x:v>7</x:v>
      </x:c>
      <x:c r="H15" s="82" t="n">
        <x:v>943</x:v>
      </x:c>
      <x:c r="I15" s="82" t="n">
        <x:v>75</x:v>
      </x:c>
      <x:c r="J15" s="82" t="n">
        <x:v>8</x:v>
      </x:c>
      <x:c r="K15" s="82" t="n">
        <x:v>23</x:v>
      </x:c>
      <x:c r="L15" s="82" t="n">
        <x:v>0</x:v>
      </x:c>
      <x:c r="M15" s="82" t="n">
        <x:v>71</x:v>
      </x:c>
      <x:c r="N15" s="82" t="n">
        <x:v>0</x:v>
      </x:c>
      <x:c r="O15" s="82" t="n">
        <x:v>0</x:v>
      </x:c>
      <x:c r="P15" s="80" t="str">
        <x:v>PASS</x:v>
      </x:c>
      <x:c r="Q15" s="80" t="str">
        <x:v>PASS</x:v>
      </x:c>
      <x:c r="R15" s="80" t="str">
        <x:v>PASS</x:v>
      </x:c>
    </x:row>
    <x:row r="16" ht="15" hidden="0" customHeight="1">
      <x:c r="A16" s="81" t="str">
        <x:v>DOC-006</x:v>
      </x:c>
      <x:c r="B16" s="81" t="str">
        <x:v>DE</x:v>
      </x:c>
      <x:c r="C16" s="81" t="str">
        <x:v>4.0</x:v>
      </x:c>
      <x:c r="D16" s="81" t="str">
        <x:v>DOC-006_Project_Scope_DE_v4_0_Full_Content_Audited_Complete.docx</x:v>
      </x:c>
      <x:c r="E16" s="81" t="str">
        <x:v>docs/00_Project_Management/DOC-006_Project_Scope_DE_v4_0_Full_Content_Audited_Complete.docx</x:v>
      </x:c>
      <x:c r="F16" s="83" t="n">
        <x:v>2671156</x:v>
      </x:c>
      <x:c r="G16" s="83" t="n">
        <x:v>7</x:v>
      </x:c>
      <x:c r="H16" s="83" t="n">
        <x:v>923</x:v>
      </x:c>
      <x:c r="I16" s="83" t="n">
        <x:v>75</x:v>
      </x:c>
      <x:c r="J16" s="83" t="n">
        <x:v>8</x:v>
      </x:c>
      <x:c r="K16" s="83" t="n">
        <x:v>23</x:v>
      </x:c>
      <x:c r="L16" s="83" t="n">
        <x:v>0</x:v>
      </x:c>
      <x:c r="M16" s="83" t="n">
        <x:v>71</x:v>
      </x:c>
      <x:c r="N16" s="83" t="n">
        <x:v>0</x:v>
      </x:c>
      <x:c r="O16" s="83" t="n">
        <x:v>0</x:v>
      </x:c>
      <x:c r="P16" s="81" t="str">
        <x:v>PASS</x:v>
      </x:c>
      <x:c r="Q16" s="81" t="str">
        <x:v>PASS</x:v>
      </x:c>
      <x:c r="R16" s="81" t="str">
        <x:v>PASS</x:v>
      </x:c>
    </x:row>
    <x:row r="17" ht="15" hidden="0" customHeight="1">
      <x:c r="A17" s="80" t="str">
        <x:v>DOC-007</x:v>
      </x:c>
      <x:c r="B17" s="80" t="str">
        <x:v>RU</x:v>
      </x:c>
      <x:c r="C17" s="80" t="str">
        <x:v>2.0</x:v>
      </x:c>
      <x:c r="D17" s="80" t="str">
        <x:v>DOC-007_Project_Milestones_RU_v2_0_Full_Content_Audited_Complete.docx</x:v>
      </x:c>
      <x:c r="E17" s="80" t="str">
        <x:v>docs/00_Project_Management/DOC-007_Project_Milestones_RU_v2_0_Full_Content_Audited_Complete.docx</x:v>
      </x:c>
      <x:c r="F17" s="82" t="n">
        <x:v>2672573</x:v>
      </x:c>
      <x:c r="G17" s="82" t="n">
        <x:v>8</x:v>
      </x:c>
      <x:c r="H17" s="82" t="n">
        <x:v>911</x:v>
      </x:c>
      <x:c r="I17" s="82" t="n">
        <x:v>51</x:v>
      </x:c>
      <x:c r="J17" s="82" t="n">
        <x:v>9</x:v>
      </x:c>
      <x:c r="K17" s="82" t="n">
        <x:v>20</x:v>
      </x:c>
      <x:c r="L17" s="82" t="n">
        <x:v>0</x:v>
      </x:c>
      <x:c r="M17" s="82" t="n">
        <x:v>49</x:v>
      </x:c>
      <x:c r="N17" s="82" t="n">
        <x:v>0</x:v>
      </x:c>
      <x:c r="O17" s="82" t="n">
        <x:v>0</x:v>
      </x:c>
      <x:c r="P17" s="80" t="str">
        <x:v>PASS</x:v>
      </x:c>
      <x:c r="Q17" s="80" t="str">
        <x:v>PASS</x:v>
      </x:c>
      <x:c r="R17" s="80" t="str">
        <x:v>PASS</x:v>
      </x:c>
    </x:row>
    <x:row r="18" ht="15" hidden="0" customHeight="1">
      <x:c r="A18" s="81" t="str">
        <x:v>DOC-007</x:v>
      </x:c>
      <x:c r="B18" s="81" t="str">
        <x:v>DE</x:v>
      </x:c>
      <x:c r="C18" s="81" t="str">
        <x:v>2.0</x:v>
      </x:c>
      <x:c r="D18" s="81" t="str">
        <x:v>DOC-007_Project_Milestones_DE_v2_0_Full_Content_Audited_Complete.docx</x:v>
      </x:c>
      <x:c r="E18" s="81" t="str">
        <x:v>docs/00_Project_Management/DOC-007_Project_Milestones_DE_v2_0_Full_Content_Audited_Complete.docx</x:v>
      </x:c>
      <x:c r="F18" s="83" t="n">
        <x:v>2671584</x:v>
      </x:c>
      <x:c r="G18" s="83" t="n">
        <x:v>8</x:v>
      </x:c>
      <x:c r="H18" s="83" t="n">
        <x:v>910</x:v>
      </x:c>
      <x:c r="I18" s="83" t="n">
        <x:v>51</x:v>
      </x:c>
      <x:c r="J18" s="83" t="n">
        <x:v>9</x:v>
      </x:c>
      <x:c r="K18" s="83" t="n">
        <x:v>20</x:v>
      </x:c>
      <x:c r="L18" s="83" t="n">
        <x:v>0</x:v>
      </x:c>
      <x:c r="M18" s="83" t="n">
        <x:v>49</x:v>
      </x:c>
      <x:c r="N18" s="83" t="n">
        <x:v>0</x:v>
      </x:c>
      <x:c r="O18" s="83" t="n">
        <x:v>0</x:v>
      </x:c>
      <x:c r="P18" s="81" t="str">
        <x:v>PASS</x:v>
      </x:c>
      <x:c r="Q18" s="81" t="str">
        <x:v>PASS</x:v>
      </x:c>
      <x:c r="R18" s="81" t="str">
        <x:v>PASS</x:v>
      </x:c>
    </x:row>
    <x:row r="19" ht="15" hidden="0" customHeight="1">
      <x:c r="A19" s="80" t="str">
        <x:v>DOC-008</x:v>
      </x:c>
      <x:c r="B19" s="80" t="str">
        <x:v>RU</x:v>
      </x:c>
      <x:c r="C19" s="80" t="str">
        <x:v>2.0</x:v>
      </x:c>
      <x:c r="D19" s="80" t="str">
        <x:v>DOC-008_Release_Plan_RU_v2_0_Full_Content_Audited_Complete.docx</x:v>
      </x:c>
      <x:c r="E19" s="80" t="str">
        <x:v>docs/00_Project_Management/DOC-008_Release_Plan_RU_v2_0_Full_Content_Audited_Complete.docx</x:v>
      </x:c>
      <x:c r="F19" s="82" t="n">
        <x:v>2671537</x:v>
      </x:c>
      <x:c r="G19" s="82" t="n">
        <x:v>8</x:v>
      </x:c>
      <x:c r="H19" s="82" t="n">
        <x:v>796</x:v>
      </x:c>
      <x:c r="I19" s="82" t="n">
        <x:v>82</x:v>
      </x:c>
      <x:c r="J19" s="82" t="n">
        <x:v>10</x:v>
      </x:c>
      <x:c r="K19" s="82" t="n">
        <x:v>25</x:v>
      </x:c>
      <x:c r="L19" s="82" t="n">
        <x:v>0</x:v>
      </x:c>
      <x:c r="M19" s="82" t="n">
        <x:v>82</x:v>
      </x:c>
      <x:c r="N19" s="82" t="n">
        <x:v>0</x:v>
      </x:c>
      <x:c r="O19" s="82" t="n">
        <x:v>0</x:v>
      </x:c>
      <x:c r="P19" s="80" t="str">
        <x:v>PASS</x:v>
      </x:c>
      <x:c r="Q19" s="80" t="str">
        <x:v>PASS</x:v>
      </x:c>
      <x:c r="R19" s="80" t="str">
        <x:v>PASS</x:v>
      </x:c>
    </x:row>
    <x:row r="20" ht="15" hidden="0" customHeight="1">
      <x:c r="A20" s="81" t="str">
        <x:v>DOC-008</x:v>
      </x:c>
      <x:c r="B20" s="81" t="str">
        <x:v>DE</x:v>
      </x:c>
      <x:c r="C20" s="81" t="str">
        <x:v>2.0</x:v>
      </x:c>
      <x:c r="D20" s="81" t="str">
        <x:v>DOC-008_Release_Plan_DE_v2_0_Full_Content_Audited_Complete.docx</x:v>
      </x:c>
      <x:c r="E20" s="81" t="str">
        <x:v>docs/00_Project_Management/DOC-008_Release_Plan_DE_v2_0_Full_Content_Audited_Complete.docx</x:v>
      </x:c>
      <x:c r="F20" s="83" t="n">
        <x:v>2670710</x:v>
      </x:c>
      <x:c r="G20" s="83" t="n">
        <x:v>8</x:v>
      </x:c>
      <x:c r="H20" s="83" t="n">
        <x:v>820</x:v>
      </x:c>
      <x:c r="I20" s="83" t="n">
        <x:v>82</x:v>
      </x:c>
      <x:c r="J20" s="83" t="n">
        <x:v>10</x:v>
      </x:c>
      <x:c r="K20" s="83" t="n">
        <x:v>25</x:v>
      </x:c>
      <x:c r="L20" s="83" t="n">
        <x:v>0</x:v>
      </x:c>
      <x:c r="M20" s="83" t="n">
        <x:v>82</x:v>
      </x:c>
      <x:c r="N20" s="83" t="n">
        <x:v>0</x:v>
      </x:c>
      <x:c r="O20" s="83" t="n">
        <x:v>0</x:v>
      </x:c>
      <x:c r="P20" s="81" t="str">
        <x:v>PASS</x:v>
      </x:c>
      <x:c r="Q20" s="81" t="str">
        <x:v>PASS</x:v>
      </x:c>
      <x:c r="R20" s="81" t="str">
        <x:v>PASS</x:v>
      </x:c>
    </x:row>
    <x:row r="21" ht="21.600000381469727" hidden="0" customHeight="1">
      <x:c r="A21" s="80" t="str">
        <x:v>ARCH-001</x:v>
      </x:c>
      <x:c r="B21" s="80" t="str">
        <x:v>RU</x:v>
      </x:c>
      <x:c r="C21" s="80" t="str">
        <x:v>2.0</x:v>
      </x:c>
      <x:c r="D21" s="80" t="str">
        <x:v>ARCH-001_Overall_System_Architecture_RU_v2_0_Full_Content_Audited_Complete.docx</x:v>
      </x:c>
      <x:c r="E21" s="80" t="str">
        <x:v>docs/01_Architecture/ARCH-001_Overall_System_Architecture/ARCH-001_Overall_System_Architecture_RU_v2_0_Full_Content_Audited_Complete.docx</x:v>
      </x:c>
      <x:c r="F21" s="82" t="n">
        <x:v>2673980</x:v>
      </x:c>
      <x:c r="G21" s="82" t="n">
        <x:v>11</x:v>
      </x:c>
      <x:c r="H21" s="82" t="n">
        <x:v>1173</x:v>
      </x:c>
      <x:c r="I21" s="82" t="n">
        <x:v>100</x:v>
      </x:c>
      <x:c r="J21" s="82" t="n">
        <x:v>11</x:v>
      </x:c>
      <x:c r="K21" s="82" t="n">
        <x:v>35</x:v>
      </x:c>
      <x:c r="L21" s="82" t="n">
        <x:v>0</x:v>
      </x:c>
      <x:c r="M21" s="82" t="n">
        <x:v>106</x:v>
      </x:c>
      <x:c r="N21" s="82" t="n">
        <x:v>0</x:v>
      </x:c>
      <x:c r="O21" s="82" t="n">
        <x:v>0</x:v>
      </x:c>
      <x:c r="P21" s="80" t="str">
        <x:v>PASS</x:v>
      </x:c>
      <x:c r="Q21" s="80" t="str">
        <x:v>PASS</x:v>
      </x:c>
      <x:c r="R21" s="80" t="str">
        <x:v>PASS</x:v>
      </x:c>
    </x:row>
    <x:row r="22" ht="21.600000381469727" hidden="0" customHeight="1">
      <x:c r="A22" s="81" t="str">
        <x:v>ARCH-001</x:v>
      </x:c>
      <x:c r="B22" s="81" t="str">
        <x:v>DE</x:v>
      </x:c>
      <x:c r="C22" s="81" t="str">
        <x:v>2.0</x:v>
      </x:c>
      <x:c r="D22" s="81" t="str">
        <x:v>ARCH-001_Overall_System_Architecture_DE_v2_0_Full_Content_Audited_Complete.docx</x:v>
      </x:c>
      <x:c r="E22" s="81" t="str">
        <x:v>docs/01_Architecture/ARCH-001_Overall_System_Architecture/ARCH-001_Overall_System_Architecture_DE_v2_0_Full_Content_Audited_Complete.docx</x:v>
      </x:c>
      <x:c r="F22" s="83" t="n">
        <x:v>2672772</x:v>
      </x:c>
      <x:c r="G22" s="83" t="n">
        <x:v>11</x:v>
      </x:c>
      <x:c r="H22" s="83" t="n">
        <x:v>1199</x:v>
      </x:c>
      <x:c r="I22" s="83" t="n">
        <x:v>100</x:v>
      </x:c>
      <x:c r="J22" s="83" t="n">
        <x:v>11</x:v>
      </x:c>
      <x:c r="K22" s="83" t="n">
        <x:v>35</x:v>
      </x:c>
      <x:c r="L22" s="83" t="n">
        <x:v>0</x:v>
      </x:c>
      <x:c r="M22" s="83" t="n">
        <x:v>106</x:v>
      </x:c>
      <x:c r="N22" s="83" t="n">
        <x:v>0</x:v>
      </x:c>
      <x:c r="O22" s="83" t="n">
        <x:v>0</x:v>
      </x:c>
      <x:c r="P22" s="81" t="str">
        <x:v>PASS</x:v>
      </x:c>
      <x:c r="Q22" s="81" t="str">
        <x:v>PASS</x:v>
      </x:c>
      <x:c r="R22" s="81" t="str">
        <x:v>PASS</x:v>
      </x:c>
    </x:row>
    <x:row r="23" ht="21.600000381469727" hidden="0" customHeight="1">
      <x:c r="A23" s="80" t="str">
        <x:v>ARCH-002</x:v>
      </x:c>
      <x:c r="B23" s="80" t="str">
        <x:v>RU</x:v>
      </x:c>
      <x:c r="C23" s="80" t="str">
        <x:v>2.0</x:v>
      </x:c>
      <x:c r="D23" s="80" t="str">
        <x:v>ARCH-002_Module_Architecture_RU_v2_0_Full_Content_Audited_Complete.docx</x:v>
      </x:c>
      <x:c r="E23" s="80" t="str">
        <x:v>docs/01_Architecture/ARCH-002_Module_Architecture/ARCH-002_Module_Architecture_RU_v2_0_Full_Content_Audited_Complete.docx</x:v>
      </x:c>
      <x:c r="F23" s="82" t="n">
        <x:v>2675750</x:v>
      </x:c>
      <x:c r="G23" s="82" t="n">
        <x:v>12</x:v>
      </x:c>
      <x:c r="H23" s="82" t="n">
        <x:v>1327</x:v>
      </x:c>
      <x:c r="I23" s="82" t="n">
        <x:v>112</x:v>
      </x:c>
      <x:c r="J23" s="82" t="n">
        <x:v>13</x:v>
      </x:c>
      <x:c r="K23" s="82" t="n">
        <x:v>37</x:v>
      </x:c>
      <x:c r="L23" s="82" t="n">
        <x:v>0</x:v>
      </x:c>
      <x:c r="M23" s="82" t="n">
        <x:v>122</x:v>
      </x:c>
      <x:c r="N23" s="82" t="n">
        <x:v>0</x:v>
      </x:c>
      <x:c r="O23" s="82" t="n">
        <x:v>0</x:v>
      </x:c>
      <x:c r="P23" s="80" t="str">
        <x:v>PASS</x:v>
      </x:c>
      <x:c r="Q23" s="80" t="str">
        <x:v>PASS</x:v>
      </x:c>
      <x:c r="R23" s="80" t="str">
        <x:v>PASS</x:v>
      </x:c>
    </x:row>
    <x:row r="24" ht="21.600000381469727" hidden="0" customHeight="1">
      <x:c r="A24" s="81" t="str">
        <x:v>ARCH-002</x:v>
      </x:c>
      <x:c r="B24" s="81" t="str">
        <x:v>DE</x:v>
      </x:c>
      <x:c r="C24" s="81" t="str">
        <x:v>2.0</x:v>
      </x:c>
      <x:c r="D24" s="81" t="str">
        <x:v>ARCH-002_Module_Architecture_DE_v2_0_Full_Content_Audited_Complete.docx</x:v>
      </x:c>
      <x:c r="E24" s="81" t="str">
        <x:v>docs/01_Architecture/ARCH-002_Module_Architecture/ARCH-002_Module_Architecture_DE_v2_0_Full_Content_Audited_Complete.docx</x:v>
      </x:c>
      <x:c r="F24" s="83" t="n">
        <x:v>2674488</x:v>
      </x:c>
      <x:c r="G24" s="83" t="n">
        <x:v>12</x:v>
      </x:c>
      <x:c r="H24" s="83" t="n">
        <x:v>1354</x:v>
      </x:c>
      <x:c r="I24" s="83" t="n">
        <x:v>112</x:v>
      </x:c>
      <x:c r="J24" s="83" t="n">
        <x:v>13</x:v>
      </x:c>
      <x:c r="K24" s="83" t="n">
        <x:v>36</x:v>
      </x:c>
      <x:c r="L24" s="83" t="n">
        <x:v>0</x:v>
      </x:c>
      <x:c r="M24" s="83" t="n">
        <x:v>122</x:v>
      </x:c>
      <x:c r="N24" s="83" t="n">
        <x:v>0</x:v>
      </x:c>
      <x:c r="O24" s="83" t="n">
        <x:v>0</x:v>
      </x:c>
      <x:c r="P24" s="81" t="str">
        <x:v>PASS</x:v>
      </x:c>
      <x:c r="Q24" s="81" t="str">
        <x:v>PASS</x:v>
      </x:c>
      <x:c r="R24" s="81" t="str">
        <x:v>PASS</x:v>
      </x:c>
    </x:row>
    <x:row r="25" ht="15" hidden="0" customHeight="1">
      <x:c r="A25" s="80" t="str">
        <x:v>ARCH-003</x:v>
      </x:c>
      <x:c r="B25" s="80" t="str">
        <x:v>RU</x:v>
      </x:c>
      <x:c r="C25" s="80" t="str">
        <x:v>2.0</x:v>
      </x:c>
      <x:c r="D25" s="80" t="str">
        <x:v>ARCH-003_Data_Flow_RU_v2_0_Full_Content_Audited_Complete.docx</x:v>
      </x:c>
      <x:c r="E25" s="80" t="str">
        <x:v>docs/01_Architecture/ARCH-003_Data_Flow/ARCH-003_Data_Flow_RU_v2_0_Full_Content_Audited_Complete.docx</x:v>
      </x:c>
      <x:c r="F25" s="82" t="n">
        <x:v>2675879</x:v>
      </x:c>
      <x:c r="G25" s="82" t="n">
        <x:v>13</x:v>
      </x:c>
      <x:c r="H25" s="82" t="n">
        <x:v>1744</x:v>
      </x:c>
      <x:c r="I25" s="82" t="n">
        <x:v>182</x:v>
      </x:c>
      <x:c r="J25" s="82" t="n">
        <x:v>12</x:v>
      </x:c>
      <x:c r="K25" s="82" t="n">
        <x:v>48</x:v>
      </x:c>
      <x:c r="L25" s="82" t="n">
        <x:v>0</x:v>
      </x:c>
      <x:c r="M25" s="82" t="n">
        <x:v>190</x:v>
      </x:c>
      <x:c r="N25" s="82" t="n">
        <x:v>0</x:v>
      </x:c>
      <x:c r="O25" s="82" t="n">
        <x:v>0</x:v>
      </x:c>
      <x:c r="P25" s="80" t="str">
        <x:v>PASS</x:v>
      </x:c>
      <x:c r="Q25" s="80" t="str">
        <x:v>PASS</x:v>
      </x:c>
      <x:c r="R25" s="80" t="str">
        <x:v>PASS</x:v>
      </x:c>
    </x:row>
    <x:row r="26" ht="15" hidden="0" customHeight="1">
      <x:c r="A26" s="81" t="str">
        <x:v>ARCH-003</x:v>
      </x:c>
      <x:c r="B26" s="81" t="str">
        <x:v>DE</x:v>
      </x:c>
      <x:c r="C26" s="81" t="str">
        <x:v>2.0</x:v>
      </x:c>
      <x:c r="D26" s="81" t="str">
        <x:v>ARCH-003_Data_Flow_DE_v2_0_Full_Content_Audited_Complete.docx</x:v>
      </x:c>
      <x:c r="E26" s="81" t="str">
        <x:v>docs/01_Architecture/ARCH-003_Data_Flow/ARCH-003_Data_Flow_DE_v2_0_Full_Content_Audited_Complete.docx</x:v>
      </x:c>
      <x:c r="F26" s="83" t="n">
        <x:v>2674556</x:v>
      </x:c>
      <x:c r="G26" s="83" t="n">
        <x:v>13</x:v>
      </x:c>
      <x:c r="H26" s="83" t="n">
        <x:v>1772</x:v>
      </x:c>
      <x:c r="I26" s="83" t="n">
        <x:v>182</x:v>
      </x:c>
      <x:c r="J26" s="83" t="n">
        <x:v>12</x:v>
      </x:c>
      <x:c r="K26" s="83" t="n">
        <x:v>48</x:v>
      </x:c>
      <x:c r="L26" s="83" t="n">
        <x:v>0</x:v>
      </x:c>
      <x:c r="M26" s="83" t="n">
        <x:v>190</x:v>
      </x:c>
      <x:c r="N26" s="83" t="n">
        <x:v>0</x:v>
      </x:c>
      <x:c r="O26" s="83" t="n">
        <x:v>0</x:v>
      </x:c>
      <x:c r="P26" s="81" t="str">
        <x:v>PASS</x:v>
      </x:c>
      <x:c r="Q26" s="81" t="str">
        <x:v>PASS</x:v>
      </x:c>
      <x:c r="R26" s="81" t="str">
        <x:v>PASS</x:v>
      </x:c>
    </x:row>
    <x:row r="27" ht="21.600000381469727" hidden="0" customHeight="1">
      <x:c r="A27" s="80" t="str">
        <x:v>ARCH-004</x:v>
      </x:c>
      <x:c r="B27" s="80" t="str">
        <x:v>RU</x:v>
      </x:c>
      <x:c r="C27" s="80" t="str">
        <x:v>2.0</x:v>
      </x:c>
      <x:c r="D27" s="80" t="str">
        <x:v>ARCH-004_Architecture_Principles_and_Dependency_Rules_RU_v2_0_Full_Content_Audited_Complete.docx</x:v>
      </x:c>
      <x:c r="E27" s="80" t="str">
        <x:v>docs/01_Architecture/ARCH-004_Architecture_Principles_and_Dependency_Rules/ARCH-004_Architecture_Principles_and_Dependency_Rules_RU_v2_0_Full_Content_Audited_Complete.docx</x:v>
      </x:c>
      <x:c r="F27" s="82" t="n">
        <x:v>2675329</x:v>
      </x:c>
      <x:c r="G27" s="82" t="n">
        <x:v>12</x:v>
      </x:c>
      <x:c r="H27" s="82" t="n">
        <x:v>1424</x:v>
      </x:c>
      <x:c r="I27" s="82" t="n">
        <x:v>114</x:v>
      </x:c>
      <x:c r="J27" s="82" t="n">
        <x:v>15</x:v>
      </x:c>
      <x:c r="K27" s="82" t="n">
        <x:v>39</x:v>
      </x:c>
      <x:c r="L27" s="82" t="n">
        <x:v>0</x:v>
      </x:c>
      <x:c r="M27" s="82" t="n">
        <x:v>128</x:v>
      </x:c>
      <x:c r="N27" s="82" t="n">
        <x:v>0</x:v>
      </x:c>
      <x:c r="O27" s="82" t="n">
        <x:v>0</x:v>
      </x:c>
      <x:c r="P27" s="80" t="str">
        <x:v>PASS</x:v>
      </x:c>
      <x:c r="Q27" s="80" t="str">
        <x:v>PASS</x:v>
      </x:c>
      <x:c r="R27" s="80" t="str">
        <x:v>PASS</x:v>
      </x:c>
    </x:row>
    <x:row r="28" ht="21.600000381469727" hidden="0" customHeight="1">
      <x:c r="A28" s="81" t="str">
        <x:v>ARCH-004</x:v>
      </x:c>
      <x:c r="B28" s="81" t="str">
        <x:v>DE</x:v>
      </x:c>
      <x:c r="C28" s="81" t="str">
        <x:v>2.0</x:v>
      </x:c>
      <x:c r="D28" s="81" t="str">
        <x:v>ARCH-004_Architecture_Principles_and_Dependency_Rules_DE_v2_0_Full_Content_Audited_Complete.docx</x:v>
      </x:c>
      <x:c r="E28" s="81" t="str">
        <x:v>docs/01_Architecture/ARCH-004_Architecture_Principles_and_Dependency_Rules/ARCH-004_Architecture_Principles_and_Dependency_Rules_DE_v2_0_Full_Content_Audited_Complete.docx</x:v>
      </x:c>
      <x:c r="F28" s="83" t="n">
        <x:v>2674211</x:v>
      </x:c>
      <x:c r="G28" s="83" t="n">
        <x:v>12</x:v>
      </x:c>
      <x:c r="H28" s="83" t="n">
        <x:v>1488</x:v>
      </x:c>
      <x:c r="I28" s="83" t="n">
        <x:v>114</x:v>
      </x:c>
      <x:c r="J28" s="83" t="n">
        <x:v>15</x:v>
      </x:c>
      <x:c r="K28" s="83" t="n">
        <x:v>39</x:v>
      </x:c>
      <x:c r="L28" s="83" t="n">
        <x:v>0</x:v>
      </x:c>
      <x:c r="M28" s="83" t="n">
        <x:v>128</x:v>
      </x:c>
      <x:c r="N28" s="83" t="n">
        <x:v>0</x:v>
      </x:c>
      <x:c r="O28" s="83" t="n">
        <x:v>0</x:v>
      </x:c>
      <x:c r="P28" s="81" t="str">
        <x:v>PASS</x:v>
      </x:c>
      <x:c r="Q28" s="81" t="str">
        <x:v>PASS</x:v>
      </x:c>
      <x:c r="R28" s="81" t="str">
        <x:v>PASS</x:v>
      </x:c>
    </x:row>
    <x:row r="29" ht="21.600000381469727" hidden="0" customHeight="1">
      <x:c r="A29" s="80" t="str">
        <x:v>ARCH-005</x:v>
      </x:c>
      <x:c r="B29" s="80" t="str">
        <x:v>RU</x:v>
      </x:c>
      <x:c r="C29" s="80" t="str">
        <x:v>2.0</x:v>
      </x:c>
      <x:c r="D29" s="80" t="str">
        <x:v>ARCH-005_Module_Dependencies_RU_v2_0_Full_Content_Audited_Complete.docx</x:v>
      </x:c>
      <x:c r="E29" s="80" t="str">
        <x:v>docs/01_Architecture/ARCH-005_Module_Dependencies/ARCH-005_Module_Dependencies_RU_v2_0_Full_Content_Audited_Complete.docx</x:v>
      </x:c>
      <x:c r="F29" s="82" t="n">
        <x:v>2677114</x:v>
      </x:c>
      <x:c r="G29" s="82" t="n">
        <x:v>14</x:v>
      </x:c>
      <x:c r="H29" s="82" t="n">
        <x:v>1641</x:v>
      </x:c>
      <x:c r="I29" s="82" t="n">
        <x:v>112</x:v>
      </x:c>
      <x:c r="J29" s="82" t="n">
        <x:v>17</x:v>
      </x:c>
      <x:c r="K29" s="82" t="n">
        <x:v>40</x:v>
      </x:c>
      <x:c r="L29" s="82" t="n">
        <x:v>0</x:v>
      </x:c>
      <x:c r="M29" s="82" t="n">
        <x:v>128</x:v>
      </x:c>
      <x:c r="N29" s="82" t="n">
        <x:v>0</x:v>
      </x:c>
      <x:c r="O29" s="82" t="n">
        <x:v>0</x:v>
      </x:c>
      <x:c r="P29" s="80" t="str">
        <x:v>PASS</x:v>
      </x:c>
      <x:c r="Q29" s="80" t="str">
        <x:v>PASS</x:v>
      </x:c>
      <x:c r="R29" s="80" t="str">
        <x:v>PASS</x:v>
      </x:c>
    </x:row>
    <x:row r="30" ht="21.600000381469727" hidden="0" customHeight="1">
      <x:c r="A30" s="81" t="str">
        <x:v>ARCH-005</x:v>
      </x:c>
      <x:c r="B30" s="81" t="str">
        <x:v>DE</x:v>
      </x:c>
      <x:c r="C30" s="81" t="str">
        <x:v>2.0</x:v>
      </x:c>
      <x:c r="D30" s="81" t="str">
        <x:v>ARCH-005_Module_Dependencies_DE_v2_0_Full_Content_Audited_Complete.docx</x:v>
      </x:c>
      <x:c r="E30" s="81" t="str">
        <x:v>docs/01_Architecture/ARCH-005_Module_Dependencies/ARCH-005_Module_Dependencies_DE_v2_0_Full_Content_Audited_Complete.docx</x:v>
      </x:c>
      <x:c r="F30" s="83" t="n">
        <x:v>2675643</x:v>
      </x:c>
      <x:c r="G30" s="83" t="n">
        <x:v>14</x:v>
      </x:c>
      <x:c r="H30" s="83" t="n">
        <x:v>1626</x:v>
      </x:c>
      <x:c r="I30" s="83" t="n">
        <x:v>111</x:v>
      </x:c>
      <x:c r="J30" s="83" t="n">
        <x:v>17</x:v>
      </x:c>
      <x:c r="K30" s="83" t="n">
        <x:v>40</x:v>
      </x:c>
      <x:c r="L30" s="83" t="n">
        <x:v>0</x:v>
      </x:c>
      <x:c r="M30" s="83" t="n">
        <x:v>128</x:v>
      </x:c>
      <x:c r="N30" s="83" t="n">
        <x:v>0</x:v>
      </x:c>
      <x:c r="O30" s="83" t="n">
        <x:v>0</x:v>
      </x:c>
      <x:c r="P30" s="81" t="str">
        <x:v>PASS</x:v>
      </x:c>
      <x:c r="Q30" s="81" t="str">
        <x:v>PASS</x:v>
      </x:c>
      <x:c r="R30" s="81" t="str">
        <x:v>PASS</x:v>
      </x:c>
    </x:row>
    <x:row r="31" ht="21.600000381469727" hidden="0" customHeight="1">
      <x:c r="A31" s="80" t="str">
        <x:v>ARCH-006</x:v>
      </x:c>
      <x:c r="B31" s="80" t="str">
        <x:v>RU</x:v>
      </x:c>
      <x:c r="C31" s="80" t="str">
        <x:v>2.0</x:v>
      </x:c>
      <x:c r="D31" s="80" t="str">
        <x:v>ARCH-006_Component_Diagram_RU_v2_0_Full_Content_Audited_Complete.docx</x:v>
      </x:c>
      <x:c r="E31" s="80" t="str">
        <x:v>docs/01_Architecture/ARCH-006_Component_Diagram/ARCH-006_Component_Diagram_RU_v2_0_Full_Content_Audited_Complete.docx</x:v>
      </x:c>
      <x:c r="F31" s="82" t="n">
        <x:v>3739857</x:v>
      </x:c>
      <x:c r="G31" s="82" t="n">
        <x:v>11</x:v>
      </x:c>
      <x:c r="H31" s="82" t="n">
        <x:v>1743</x:v>
      </x:c>
      <x:c r="I31" s="82" t="n">
        <x:v>87</x:v>
      </x:c>
      <x:c r="J31" s="82" t="n">
        <x:v>2</x:v>
      </x:c>
      <x:c r="K31" s="82" t="n">
        <x:v>19</x:v>
      </x:c>
      <x:c r="L31" s="82" t="n">
        <x:v>2</x:v>
      </x:c>
      <x:c r="M31" s="82" t="n">
        <x:v>79</x:v>
      </x:c>
      <x:c r="N31" s="82" t="n">
        <x:v>0</x:v>
      </x:c>
      <x:c r="O31" s="82" t="n">
        <x:v>0</x:v>
      </x:c>
      <x:c r="P31" s="80" t="str">
        <x:v>PASS</x:v>
      </x:c>
      <x:c r="Q31" s="80" t="str">
        <x:v>PASS</x:v>
      </x:c>
      <x:c r="R31" s="80" t="str">
        <x:v>PASS</x:v>
      </x:c>
    </x:row>
    <x:row r="32" ht="21.600000381469727" hidden="0" customHeight="1">
      <x:c r="A32" s="81" t="str">
        <x:v>ARCH-006</x:v>
      </x:c>
      <x:c r="B32" s="81" t="str">
        <x:v>DE</x:v>
      </x:c>
      <x:c r="C32" s="81" t="str">
        <x:v>2.0</x:v>
      </x:c>
      <x:c r="D32" s="81" t="str">
        <x:v>ARCH-006_Component_Diagram_DE_v2_0_Full_Content_Audited_Complete.docx</x:v>
      </x:c>
      <x:c r="E32" s="81" t="str">
        <x:v>docs/01_Architecture/ARCH-006_Component_Diagram/ARCH-006_Component_Diagram_DE_v2_0_Full_Content_Audited_Complete.docx</x:v>
      </x:c>
      <x:c r="F32" s="83" t="n">
        <x:v>3739414</x:v>
      </x:c>
      <x:c r="G32" s="83" t="n">
        <x:v>11</x:v>
      </x:c>
      <x:c r="H32" s="83" t="n">
        <x:v>1735</x:v>
      </x:c>
      <x:c r="I32" s="83" t="n">
        <x:v>87</x:v>
      </x:c>
      <x:c r="J32" s="83" t="n">
        <x:v>2</x:v>
      </x:c>
      <x:c r="K32" s="83" t="n">
        <x:v>19</x:v>
      </x:c>
      <x:c r="L32" s="83" t="n">
        <x:v>2</x:v>
      </x:c>
      <x:c r="M32" s="83" t="n">
        <x:v>79</x:v>
      </x:c>
      <x:c r="N32" s="83" t="n">
        <x:v>0</x:v>
      </x:c>
      <x:c r="O32" s="83" t="n">
        <x:v>0</x:v>
      </x:c>
      <x:c r="P32" s="81" t="str">
        <x:v>PASS</x:v>
      </x:c>
      <x:c r="Q32" s="81" t="str">
        <x:v>PASS</x:v>
      </x:c>
      <x:c r="R32" s="81" t="str">
        <x:v>PASS</x:v>
      </x:c>
    </x:row>
    <x:row r="33" ht="21.600000381469727" hidden="0" customHeight="1">
      <x:c r="A33" s="80" t="str">
        <x:v>ARCH-007</x:v>
      </x:c>
      <x:c r="B33" s="80" t="str">
        <x:v>RU</x:v>
      </x:c>
      <x:c r="C33" s="80" t="str">
        <x:v>5.0</x:v>
      </x:c>
      <x:c r="D33" s="80" t="str">
        <x:v>ARCH-007_Sequence_Diagrams_RU_v5_0_Full_Content_Audited_Complete.docx</x:v>
      </x:c>
      <x:c r="E33" s="80" t="str">
        <x:v>docs/01_Architecture/ARCH-007_Sequence_Diagrams/ARCH-007_Sequence_Diagrams_RU_v5_0_Full_Content_Audited_Complete.docx</x:v>
      </x:c>
      <x:c r="F33" s="82" t="n">
        <x:v>3487498</x:v>
      </x:c>
      <x:c r="G33" s="82" t="n">
        <x:v>76</x:v>
      </x:c>
      <x:c r="H33" s="82" t="n">
        <x:v>11116</x:v>
      </x:c>
      <x:c r="I33" s="82" t="n">
        <x:v>779</x:v>
      </x:c>
      <x:c r="J33" s="82" t="n">
        <x:v>58</x:v>
      </x:c>
      <x:c r="K33" s="82" t="n">
        <x:v>273</x:v>
      </x:c>
      <x:c r="L33" s="82" t="n">
        <x:v>8</x:v>
      </x:c>
      <x:c r="M33" s="82" t="n">
        <x:v>1040</x:v>
      </x:c>
      <x:c r="N33" s="82" t="n">
        <x:v>0</x:v>
      </x:c>
      <x:c r="O33" s="82" t="n">
        <x:v>0</x:v>
      </x:c>
      <x:c r="P33" s="80" t="str">
        <x:v>PASS</x:v>
      </x:c>
      <x:c r="Q33" s="80" t="str">
        <x:v>PASS</x:v>
      </x:c>
      <x:c r="R33" s="80" t="str">
        <x:v>PASS</x:v>
      </x:c>
    </x:row>
    <x:row r="34" ht="21.600000381469727" hidden="0" customHeight="1">
      <x:c r="A34" s="81" t="str">
        <x:v>ARCH-007</x:v>
      </x:c>
      <x:c r="B34" s="81" t="str">
        <x:v>DE</x:v>
      </x:c>
      <x:c r="C34" s="81" t="str">
        <x:v>5.0</x:v>
      </x:c>
      <x:c r="D34" s="81" t="str">
        <x:v>ARCH-007_Sequence_Diagrams_DE_v5_0_Full_Content_Audited_Complete.docx</x:v>
      </x:c>
      <x:c r="E34" s="81" t="str">
        <x:v>docs/01_Architecture/ARCH-007_Sequence_Diagrams/ARCH-007_Sequence_Diagrams_DE_v5_0_Full_Content_Audited_Complete.docx</x:v>
      </x:c>
      <x:c r="F34" s="83" t="n">
        <x:v>3496794</x:v>
      </x:c>
      <x:c r="G34" s="83" t="n">
        <x:v>74</x:v>
      </x:c>
      <x:c r="H34" s="83" t="n">
        <x:v>11311</x:v>
      </x:c>
      <x:c r="I34" s="83" t="n">
        <x:v>752</x:v>
      </x:c>
      <x:c r="J34" s="83" t="n">
        <x:v>58</x:v>
      </x:c>
      <x:c r="K34" s="83" t="n">
        <x:v>259</x:v>
      </x:c>
      <x:c r="L34" s="83" t="n">
        <x:v>8</x:v>
      </x:c>
      <x:c r="M34" s="83" t="n">
        <x:v>1001</x:v>
      </x:c>
      <x:c r="N34" s="83" t="n">
        <x:v>0</x:v>
      </x:c>
      <x:c r="O34" s="83" t="n">
        <x:v>0</x:v>
      </x:c>
      <x:c r="P34" s="81" t="str">
        <x:v>PASS</x:v>
      </x:c>
      <x:c r="Q34" s="81" t="str">
        <x:v>PASS</x:v>
      </x:c>
      <x:c r="R34" s="81" t="str">
        <x:v>PASS</x:v>
      </x:c>
    </x:row>
    <x:row r="35" ht="21.600000381469727" hidden="0" customHeight="1">
      <x:c r="A35" s="80" t="str">
        <x:v>ARCH-008</x:v>
      </x:c>
      <x:c r="B35" s="80" t="str">
        <x:v>RU</x:v>
      </x:c>
      <x:c r="C35" s="80" t="str">
        <x:v>2.0</x:v>
      </x:c>
      <x:c r="D35" s="80" t="str">
        <x:v>ARCH-008_Deployment_Architecture_RU_v2_0_Full_Content_Audited_Complete.docx</x:v>
      </x:c>
      <x:c r="E35" s="80" t="str">
        <x:v>docs/01_Architecture/ARCH-008_Deployment_Architecture/ARCH-008_Deployment_Architecture_RU_v2_0_Full_Content_Audited_Complete.docx</x:v>
      </x:c>
      <x:c r="F35" s="82" t="n">
        <x:v>2726763</x:v>
      </x:c>
      <x:c r="G35" s="82" t="n">
        <x:v>78</x:v>
      </x:c>
      <x:c r="H35" s="82" t="n">
        <x:v>11430</x:v>
      </x:c>
      <x:c r="I35" s="82" t="n">
        <x:v>844</x:v>
      </x:c>
      <x:c r="J35" s="82" t="n">
        <x:v>94</x:v>
      </x:c>
      <x:c r="K35" s="82" t="n">
        <x:v>228</x:v>
      </x:c>
      <x:c r="L35" s="82" t="n">
        <x:v>0</x:v>
      </x:c>
      <x:c r="M35" s="82" t="n">
        <x:v>1797</x:v>
      </x:c>
      <x:c r="N35" s="82" t="n">
        <x:v>0</x:v>
      </x:c>
      <x:c r="O35" s="82" t="n">
        <x:v>0</x:v>
      </x:c>
      <x:c r="P35" s="80" t="str">
        <x:v>PASS</x:v>
      </x:c>
      <x:c r="Q35" s="80" t="str">
        <x:v>PASS</x:v>
      </x:c>
      <x:c r="R35" s="80" t="str">
        <x:v>PASS</x:v>
      </x:c>
    </x:row>
    <x:row r="36" ht="21.600000381469727" hidden="0" customHeight="1">
      <x:c r="A36" s="81" t="str">
        <x:v>ARCH-008</x:v>
      </x:c>
      <x:c r="B36" s="81" t="str">
        <x:v>DE</x:v>
      </x:c>
      <x:c r="C36" s="81" t="str">
        <x:v>2.0</x:v>
      </x:c>
      <x:c r="D36" s="81" t="str">
        <x:v>ARCH-008_Deployment_Architecture_DE_v2_0_Full_Content_Audited_Complete.docx</x:v>
      </x:c>
      <x:c r="E36" s="81" t="str">
        <x:v>docs/01_Architecture/ARCH-008_Deployment_Architecture/ARCH-008_Deployment_Architecture_DE_v2_0_Full_Content_Audited_Complete.docx</x:v>
      </x:c>
      <x:c r="F36" s="83" t="n">
        <x:v>2720462</x:v>
      </x:c>
      <x:c r="G36" s="83" t="n">
        <x:v>76</x:v>
      </x:c>
      <x:c r="H36" s="83" t="n">
        <x:v>11141</x:v>
      </x:c>
      <x:c r="I36" s="83" t="n">
        <x:v>843</x:v>
      </x:c>
      <x:c r="J36" s="83" t="n">
        <x:v>94</x:v>
      </x:c>
      <x:c r="K36" s="83" t="n">
        <x:v>228</x:v>
      </x:c>
      <x:c r="L36" s="83" t="n">
        <x:v>0</x:v>
      </x:c>
      <x:c r="M36" s="83" t="n">
        <x:v>1797</x:v>
      </x:c>
      <x:c r="N36" s="83" t="n">
        <x:v>0</x:v>
      </x:c>
      <x:c r="O36" s="83" t="n">
        <x:v>0</x:v>
      </x:c>
      <x:c r="P36" s="81" t="str">
        <x:v>PASS</x:v>
      </x:c>
      <x:c r="Q36" s="81" t="str">
        <x:v>PASS</x:v>
      </x:c>
      <x:c r="R36" s="81" t="str">
        <x:v>PASS</x:v>
      </x:c>
    </x:row>
    <x:row r="37" ht="21.600000381469727" hidden="0" customHeight="1">
      <x:c r="A37" s="80" t="str">
        <x:v>ARCH-009</x:v>
      </x:c>
      <x:c r="B37" s="80" t="str">
        <x:v>RU</x:v>
      </x:c>
      <x:c r="C37" s="80" t="str">
        <x:v>2.0</x:v>
      </x:c>
      <x:c r="D37" s="80" t="str">
        <x:v>ARCH-009_Configuration_Architecture_RU_v2_0_Full_Content_Audited_Complete.docx</x:v>
      </x:c>
      <x:c r="E37" s="80" t="str">
        <x:v>docs/01_Architecture/ARCH-009_Configuration_Architecture/ARCH-009_Configuration_Architecture_RU_v2_0_Full_Content_Audited_Complete.docx</x:v>
      </x:c>
      <x:c r="F37" s="82" t="n">
        <x:v>2716573</x:v>
      </x:c>
      <x:c r="G37" s="82" t="n">
        <x:v>74</x:v>
      </x:c>
      <x:c r="H37" s="82" t="n">
        <x:v>9440</x:v>
      </x:c>
      <x:c r="I37" s="82" t="n">
        <x:v>771</x:v>
      </x:c>
      <x:c r="J37" s="82" t="n">
        <x:v>91</x:v>
      </x:c>
      <x:c r="K37" s="82" t="n">
        <x:v>232</x:v>
      </x:c>
      <x:c r="L37" s="82" t="n">
        <x:v>0</x:v>
      </x:c>
      <x:c r="M37" s="82" t="n">
        <x:v>1853</x:v>
      </x:c>
      <x:c r="N37" s="82" t="n">
        <x:v>0</x:v>
      </x:c>
      <x:c r="O37" s="82" t="n">
        <x:v>0</x:v>
      </x:c>
      <x:c r="P37" s="80" t="str">
        <x:v>PASS</x:v>
      </x:c>
      <x:c r="Q37" s="80" t="str">
        <x:v>PASS</x:v>
      </x:c>
      <x:c r="R37" s="80" t="str">
        <x:v>PASS</x:v>
      </x:c>
    </x:row>
    <x:row r="38" ht="21.600000381469727" hidden="0" customHeight="1">
      <x:c r="A38" s="81" t="str">
        <x:v>ARCH-009</x:v>
      </x:c>
      <x:c r="B38" s="81" t="str">
        <x:v>DE</x:v>
      </x:c>
      <x:c r="C38" s="81" t="str">
        <x:v>2.0</x:v>
      </x:c>
      <x:c r="D38" s="81" t="str">
        <x:v>ARCH-009_Configuration_Architecture_DE_v2_0_Full_Content_Audited_Complete.docx</x:v>
      </x:c>
      <x:c r="E38" s="81" t="str">
        <x:v>docs/01_Architecture/ARCH-009_Configuration_Architecture/ARCH-009_Configuration_Architecture_DE_v2_0_Full_Content_Audited_Complete.docx</x:v>
      </x:c>
      <x:c r="F38" s="83" t="n">
        <x:v>2711503</x:v>
      </x:c>
      <x:c r="G38" s="83" t="n">
        <x:v>71</x:v>
      </x:c>
      <x:c r="H38" s="83" t="n">
        <x:v>9017</x:v>
      </x:c>
      <x:c r="I38" s="83" t="n">
        <x:v>769</x:v>
      </x:c>
      <x:c r="J38" s="83" t="n">
        <x:v>91</x:v>
      </x:c>
      <x:c r="K38" s="83" t="n">
        <x:v>231</x:v>
      </x:c>
      <x:c r="L38" s="83" t="n">
        <x:v>0</x:v>
      </x:c>
      <x:c r="M38" s="83" t="n">
        <x:v>1851</x:v>
      </x:c>
      <x:c r="N38" s="83" t="n">
        <x:v>0</x:v>
      </x:c>
      <x:c r="O38" s="83" t="n">
        <x:v>0</x:v>
      </x:c>
      <x:c r="P38" s="81" t="str">
        <x:v>PASS</x:v>
      </x:c>
      <x:c r="Q38" s="81" t="str">
        <x:v>PASS</x:v>
      </x:c>
      <x:c r="R38" s="81" t="str">
        <x:v>PASS</x:v>
      </x:c>
    </x:row>
    <x:row r="39" ht="21.600000381469727" hidden="0" customHeight="1">
      <x:c r="A39" s="80" t="str">
        <x:v>ARCH-010</x:v>
      </x:c>
      <x:c r="B39" s="80" t="str">
        <x:v>RU</x:v>
      </x:c>
      <x:c r="C39" s="80" t="str">
        <x:v>2.0</x:v>
      </x:c>
      <x:c r="D39" s="80" t="str">
        <x:v>ARCH-010_Plugin_Architecture_RU_v2_0_Full_Content_Audited_Complete.docx</x:v>
      </x:c>
      <x:c r="E39" s="80" t="str">
        <x:v>docs/01_Architecture/ARCH-010_Plugin_Architecture/ARCH-010_Plugin_Architecture_RU_v2_0_Full_Content_Audited_Complete.docx</x:v>
      </x:c>
      <x:c r="F39" s="82" t="n">
        <x:v>2725063</x:v>
      </x:c>
      <x:c r="G39" s="82" t="n">
        <x:v>79</x:v>
      </x:c>
      <x:c r="H39" s="82" t="n">
        <x:v>11906</x:v>
      </x:c>
      <x:c r="I39" s="82" t="n">
        <x:v>967</x:v>
      </x:c>
      <x:c r="J39" s="82" t="n">
        <x:v>95</x:v>
      </x:c>
      <x:c r="K39" s="82" t="n">
        <x:v>222</x:v>
      </x:c>
      <x:c r="L39" s="82" t="n">
        <x:v>0</x:v>
      </x:c>
      <x:c r="M39" s="82" t="n">
        <x:v>2189</x:v>
      </x:c>
      <x:c r="N39" s="82" t="n">
        <x:v>0</x:v>
      </x:c>
      <x:c r="O39" s="82" t="n">
        <x:v>0</x:v>
      </x:c>
      <x:c r="P39" s="80" t="str">
        <x:v>PASS</x:v>
      </x:c>
      <x:c r="Q39" s="80" t="str">
        <x:v>PASS</x:v>
      </x:c>
      <x:c r="R39" s="80" t="str">
        <x:v>PASS</x:v>
      </x:c>
    </x:row>
    <x:row r="40" ht="21.600000381469727" hidden="0" customHeight="1">
      <x:c r="A40" s="81" t="str">
        <x:v>ARCH-010</x:v>
      </x:c>
      <x:c r="B40" s="81" t="str">
        <x:v>DE</x:v>
      </x:c>
      <x:c r="C40" s="81" t="str">
        <x:v>2.0</x:v>
      </x:c>
      <x:c r="D40" s="81" t="str">
        <x:v>ARCH-010_Plugin_Architecture_DE_v2_0_Full_Content_Audited_Complete.docx</x:v>
      </x:c>
      <x:c r="E40" s="81" t="str">
        <x:v>docs/01_Architecture/ARCH-010_Plugin_Architecture/ARCH-010_Plugin_Architecture_DE_v2_0_Full_Content_Audited_Complete.docx</x:v>
      </x:c>
      <x:c r="F40" s="83" t="n">
        <x:v>2720692</x:v>
      </x:c>
      <x:c r="G40" s="83" t="n">
        <x:v>79</x:v>
      </x:c>
      <x:c r="H40" s="83" t="n">
        <x:v>11515</x:v>
      </x:c>
      <x:c r="I40" s="83" t="n">
        <x:v>967</x:v>
      </x:c>
      <x:c r="J40" s="83" t="n">
        <x:v>95</x:v>
      </x:c>
      <x:c r="K40" s="83" t="n">
        <x:v>223</x:v>
      </x:c>
      <x:c r="L40" s="83" t="n">
        <x:v>0</x:v>
      </x:c>
      <x:c r="M40" s="83" t="n">
        <x:v>2189</x:v>
      </x:c>
      <x:c r="N40" s="83" t="n">
        <x:v>0</x:v>
      </x:c>
      <x:c r="O40" s="83" t="n">
        <x:v>0</x:v>
      </x:c>
      <x:c r="P40" s="81" t="str">
        <x:v>PASS</x:v>
      </x:c>
      <x:c r="Q40" s="81" t="str">
        <x:v>PASS</x:v>
      </x:c>
      <x:c r="R40" s="81" t="str">
        <x:v>PASS</x:v>
      </x:c>
    </x:row>
    <x:row r="41" ht="21.600000381469727" hidden="0" customHeight="1">
      <x:c r="A41" s="80" t="str">
        <x:v>ARCH-011</x:v>
      </x:c>
      <x:c r="B41" s="80" t="str">
        <x:v>RU</x:v>
      </x:c>
      <x:c r="C41" s="80" t="str">
        <x:v>2.0</x:v>
      </x:c>
      <x:c r="D41" s="80" t="str">
        <x:v>ARCH-011_Save_System_Architecture_RU_v2_0_Full_Content_Audited_Complete.docx</x:v>
      </x:c>
      <x:c r="E41" s="80" t="str">
        <x:v>docs/01_Architecture/ARCH-011_Save_System_Architecture/ARCH-011_Save_System_Architecture_RU_v2_0_Full_Content_Audited_Complete.docx</x:v>
      </x:c>
      <x:c r="F41" s="82" t="n">
        <x:v>2720560</x:v>
      </x:c>
      <x:c r="G41" s="82" t="n">
        <x:v>77</x:v>
      </x:c>
      <x:c r="H41" s="82" t="n">
        <x:v>10662</x:v>
      </x:c>
      <x:c r="I41" s="82" t="n">
        <x:v>911</x:v>
      </x:c>
      <x:c r="J41" s="82" t="n">
        <x:v>95</x:v>
      </x:c>
      <x:c r="K41" s="82" t="n">
        <x:v>266</x:v>
      </x:c>
      <x:c r="L41" s="82" t="n">
        <x:v>0</x:v>
      </x:c>
      <x:c r="M41" s="82" t="n">
        <x:v>1194</x:v>
      </x:c>
      <x:c r="N41" s="82" t="n">
        <x:v>0</x:v>
      </x:c>
      <x:c r="O41" s="82" t="n">
        <x:v>0</x:v>
      </x:c>
      <x:c r="P41" s="80" t="str">
        <x:v>PASS</x:v>
      </x:c>
      <x:c r="Q41" s="80" t="str">
        <x:v>PASS</x:v>
      </x:c>
      <x:c r="R41" s="80" t="str">
        <x:v>PASS</x:v>
      </x:c>
    </x:row>
    <x:row r="42" ht="21.600000381469727" hidden="0" customHeight="1">
      <x:c r="A42" s="81" t="str">
        <x:v>ARCH-011</x:v>
      </x:c>
      <x:c r="B42" s="81" t="str">
        <x:v>DE</x:v>
      </x:c>
      <x:c r="C42" s="81" t="str">
        <x:v>2.0</x:v>
      </x:c>
      <x:c r="D42" s="81" t="str">
        <x:v>ARCH-011_Save_System_Architecture_DE_v2_0_Full_Content_Audited_Complete.docx</x:v>
      </x:c>
      <x:c r="E42" s="81" t="str">
        <x:v>docs/01_Architecture/ARCH-011_Save_System_Architecture/ARCH-011_Save_System_Architecture_DE_v2_0_Full_Content_Audited_Complete.docx</x:v>
      </x:c>
      <x:c r="F42" s="83" t="n">
        <x:v>2714490</x:v>
      </x:c>
      <x:c r="G42" s="83" t="n">
        <x:v>76</x:v>
      </x:c>
      <x:c r="H42" s="83" t="n">
        <x:v>9883</x:v>
      </x:c>
      <x:c r="I42" s="83" t="n">
        <x:v>907</x:v>
      </x:c>
      <x:c r="J42" s="83" t="n">
        <x:v>95</x:v>
      </x:c>
      <x:c r="K42" s="83" t="n">
        <x:v>266</x:v>
      </x:c>
      <x:c r="L42" s="83" t="n">
        <x:v>0</x:v>
      </x:c>
      <x:c r="M42" s="83" t="n">
        <x:v>1191</x:v>
      </x:c>
      <x:c r="N42" s="83" t="n">
        <x:v>0</x:v>
      </x:c>
      <x:c r="O42" s="83" t="n">
        <x:v>0</x:v>
      </x:c>
      <x:c r="P42" s="81" t="str">
        <x:v>PASS</x:v>
      </x:c>
      <x:c r="Q42" s="81" t="str">
        <x:v>PASS</x:v>
      </x:c>
      <x:c r="R42" s="81" t="str">
        <x:v>PASS</x:v>
      </x:c>
    </x:row>
    <x:row r="43" ht="21.600000381469727" hidden="0" customHeight="1">
      <x:c r="A43" s="80" t="str">
        <x:v>ARCH-012</x:v>
      </x:c>
      <x:c r="B43" s="80" t="str">
        <x:v>RU</x:v>
      </x:c>
      <x:c r="C43" s="80" t="str">
        <x:v>2.0</x:v>
      </x:c>
      <x:c r="D43" s="80" t="str">
        <x:v>ARCH-012_AI_Integration_Architecture_RU_v2_0_Full_Content_Audited_Complete.docx</x:v>
      </x:c>
      <x:c r="E43" s="80" t="str">
        <x:v>docs/01_Architecture/ARCH-012_AI_Integration_Architecture/ARCH-012_AI_Integration_Architecture_RU_v2_0_Full_Content_Audited_Complete.docx</x:v>
      </x:c>
      <x:c r="F43" s="82" t="n">
        <x:v>2724551</x:v>
      </x:c>
      <x:c r="G43" s="82" t="n">
        <x:v>81</x:v>
      </x:c>
      <x:c r="H43" s="82" t="n">
        <x:v>11793</x:v>
      </x:c>
      <x:c r="I43" s="82" t="n">
        <x:v>933</x:v>
      </x:c>
      <x:c r="J43" s="82" t="n">
        <x:v>107</x:v>
      </x:c>
      <x:c r="K43" s="82" t="n">
        <x:v>240</x:v>
      </x:c>
      <x:c r="L43" s="82" t="n">
        <x:v>0</x:v>
      </x:c>
      <x:c r="M43" s="82" t="n">
        <x:v>1290</x:v>
      </x:c>
      <x:c r="N43" s="82" t="n">
        <x:v>0</x:v>
      </x:c>
      <x:c r="O43" s="82" t="n">
        <x:v>0</x:v>
      </x:c>
      <x:c r="P43" s="80" t="str">
        <x:v>PASS</x:v>
      </x:c>
      <x:c r="Q43" s="80" t="str">
        <x:v>PASS</x:v>
      </x:c>
      <x:c r="R43" s="80" t="str">
        <x:v>PASS</x:v>
      </x:c>
    </x:row>
    <x:row r="44" ht="21.600000381469727" hidden="0" customHeight="1">
      <x:c r="A44" s="81" t="str">
        <x:v>ARCH-012</x:v>
      </x:c>
      <x:c r="B44" s="81" t="str">
        <x:v>DE</x:v>
      </x:c>
      <x:c r="C44" s="81" t="str">
        <x:v>2.0</x:v>
      </x:c>
      <x:c r="D44" s="81" t="str">
        <x:v>ARCH-012_AI_Integration_Architecture_DE_v2_0_Full_Content_Audited_Complete.docx</x:v>
      </x:c>
      <x:c r="E44" s="81" t="str">
        <x:v>docs/01_Architecture/ARCH-012_AI_Integration_Architecture/ARCH-012_AI_Integration_Architecture_DE_v2_0_Full_Content_Audited_Complete.docx</x:v>
      </x:c>
      <x:c r="F44" s="83" t="n">
        <x:v>2718821</x:v>
      </x:c>
      <x:c r="G44" s="83" t="n">
        <x:v>81</x:v>
      </x:c>
      <x:c r="H44" s="83" t="n">
        <x:v>10693</x:v>
      </x:c>
      <x:c r="I44" s="83" t="n">
        <x:v>932</x:v>
      </x:c>
      <x:c r="J44" s="83" t="n">
        <x:v>107</x:v>
      </x:c>
      <x:c r="K44" s="83" t="n">
        <x:v>241</x:v>
      </x:c>
      <x:c r="L44" s="83" t="n">
        <x:v>0</x:v>
      </x:c>
      <x:c r="M44" s="83" t="n">
        <x:v>1289</x:v>
      </x:c>
      <x:c r="N44" s="83" t="n">
        <x:v>0</x:v>
      </x:c>
      <x:c r="O44" s="83" t="n">
        <x:v>0</x:v>
      </x:c>
      <x:c r="P44" s="81" t="str">
        <x:v>PASS</x:v>
      </x:c>
      <x:c r="Q44" s="81" t="str">
        <x:v>PASS</x:v>
      </x:c>
      <x:c r="R44" s="81" t="str">
        <x:v>PASS</x:v>
      </x:c>
    </x:row>
    <x:row r="45" ht="21.600000381469727" hidden="0" customHeight="1">
      <x:c r="A45" s="80" t="str">
        <x:v>ADR-001</x:v>
      </x:c>
      <x:c r="B45" s="80" t="str">
        <x:v>RU</x:v>
      </x:c>
      <x:c r="C45" s="80" t="str">
        <x:v>3.0</x:v>
      </x:c>
      <x:c r="D45" s="80" t="str">
        <x:v>ADR-001_Core_Architecture_RU_v3_0_Full_Content_Audited_Complete.docx</x:v>
      </x:c>
      <x:c r="E45" s="80" t="str">
        <x:v>docs/02_Architecture_Decision_Records/ADR-001_Core_Architecture/ADR-001_Core_Architecture_RU_v3_0_Full_Content_Audited_Complete.docx</x:v>
      </x:c>
      <x:c r="F45" s="82" t="n">
        <x:v>2702842</x:v>
      </x:c>
      <x:c r="G45" s="82" t="n">
        <x:v>46</x:v>
      </x:c>
      <x:c r="H45" s="82" t="n">
        <x:v>6622</x:v>
      </x:c>
      <x:c r="I45" s="82" t="n">
        <x:v>407</x:v>
      </x:c>
      <x:c r="J45" s="82" t="n">
        <x:v>67</x:v>
      </x:c>
      <x:c r="K45" s="82" t="n">
        <x:v>129</x:v>
      </x:c>
      <x:c r="L45" s="82" t="n">
        <x:v>0</x:v>
      </x:c>
      <x:c r="M45" s="82" t="n">
        <x:v>560</x:v>
      </x:c>
      <x:c r="N45" s="82" t="n">
        <x:v>0</x:v>
      </x:c>
      <x:c r="O45" s="82" t="n">
        <x:v>0</x:v>
      </x:c>
      <x:c r="P45" s="80" t="str">
        <x:v>PASS</x:v>
      </x:c>
      <x:c r="Q45" s="80" t="str">
        <x:v>PASS</x:v>
      </x:c>
      <x:c r="R45" s="80" t="str">
        <x:v>PASS</x:v>
      </x:c>
    </x:row>
    <x:row r="46" ht="21.600000381469727" hidden="0" customHeight="1">
      <x:c r="A46" s="81" t="str">
        <x:v>ADR-001</x:v>
      </x:c>
      <x:c r="B46" s="81" t="str">
        <x:v>DE</x:v>
      </x:c>
      <x:c r="C46" s="81" t="str">
        <x:v>3.0</x:v>
      </x:c>
      <x:c r="D46" s="81" t="str">
        <x:v>ADR-001_Core_Architecture_DE_v3_0_Full_Content_Audited_Complete.docx</x:v>
      </x:c>
      <x:c r="E46" s="81" t="str">
        <x:v>docs/02_Architecture_Decision_Records/ADR-001_Core_Architecture/ADR-001_Core_Architecture_DE_v3_0_Full_Content_Audited_Complete.docx</x:v>
      </x:c>
      <x:c r="F46" s="83" t="n">
        <x:v>2698321</x:v>
      </x:c>
      <x:c r="G46" s="83" t="n">
        <x:v>45</x:v>
      </x:c>
      <x:c r="H46" s="83" t="n">
        <x:v>6234</x:v>
      </x:c>
      <x:c r="I46" s="83" t="n">
        <x:v>406</x:v>
      </x:c>
      <x:c r="J46" s="83" t="n">
        <x:v>67</x:v>
      </x:c>
      <x:c r="K46" s="83" t="n">
        <x:v>128</x:v>
      </x:c>
      <x:c r="L46" s="83" t="n">
        <x:v>0</x:v>
      </x:c>
      <x:c r="M46" s="83" t="n">
        <x:v>560</x:v>
      </x:c>
      <x:c r="N46" s="83" t="n">
        <x:v>0</x:v>
      </x:c>
      <x:c r="O46" s="83" t="n">
        <x:v>0</x:v>
      </x:c>
      <x:c r="P46" s="81" t="str">
        <x:v>PASS</x:v>
      </x:c>
      <x:c r="Q46" s="81" t="str">
        <x:v>PASS</x:v>
      </x:c>
      <x:c r="R46" s="81" t="str">
        <x:v>PASS</x:v>
      </x:c>
    </x:row>
    <x:row r="47" ht="21.600000381469727" hidden="0" customHeight="1">
      <x:c r="A47" s="80" t="str">
        <x:v>ADR-002</x:v>
      </x:c>
      <x:c r="B47" s="80" t="str">
        <x:v>RU</x:v>
      </x:c>
      <x:c r="C47" s="80" t="str">
        <x:v>3.0</x:v>
      </x:c>
      <x:c r="D47" s="80" t="str">
        <x:v>ADR-002_Event_System_RU_v3_0_Full_Content_Audited_Complete.docx</x:v>
      </x:c>
      <x:c r="E47" s="80" t="str">
        <x:v>docs/02_Architecture_Decision_Records/ADR-002_Event_System/ADR-002_Event_System_RU_v3_0_Full_Content_Audited_Complete.docx</x:v>
      </x:c>
      <x:c r="F47" s="82" t="n">
        <x:v>2705512</x:v>
      </x:c>
      <x:c r="G47" s="82" t="n">
        <x:v>51</x:v>
      </x:c>
      <x:c r="H47" s="82" t="n">
        <x:v>7319</x:v>
      </x:c>
      <x:c r="I47" s="82" t="n">
        <x:v>451</x:v>
      </x:c>
      <x:c r="J47" s="82" t="n">
        <x:v>81</x:v>
      </x:c>
      <x:c r="K47" s="82" t="n">
        <x:v>144</x:v>
      </x:c>
      <x:c r="L47" s="82" t="n">
        <x:v>0</x:v>
      </x:c>
      <x:c r="M47" s="82" t="n">
        <x:v>650</x:v>
      </x:c>
      <x:c r="N47" s="82" t="n">
        <x:v>0</x:v>
      </x:c>
      <x:c r="O47" s="82" t="n">
        <x:v>0</x:v>
      </x:c>
      <x:c r="P47" s="80" t="str">
        <x:v>PASS</x:v>
      </x:c>
      <x:c r="Q47" s="80" t="str">
        <x:v>PASS</x:v>
      </x:c>
      <x:c r="R47" s="80" t="str">
        <x:v>PASS</x:v>
      </x:c>
    </x:row>
    <x:row r="48" ht="21.600000381469727" hidden="0" customHeight="1">
      <x:c r="A48" s="81" t="str">
        <x:v>ADR-002</x:v>
      </x:c>
      <x:c r="B48" s="81" t="str">
        <x:v>DE</x:v>
      </x:c>
      <x:c r="C48" s="81" t="str">
        <x:v>3.0</x:v>
      </x:c>
      <x:c r="D48" s="81" t="str">
        <x:v>ADR-002_Event_System_DE_v3_0_Full_Content_Audited_Complete.docx</x:v>
      </x:c>
      <x:c r="E48" s="81" t="str">
        <x:v>docs/02_Architecture_Decision_Records/ADR-002_Event_System/ADR-002_Event_System_DE_v3_0_Full_Content_Audited_Complete.docx</x:v>
      </x:c>
      <x:c r="F48" s="83" t="n">
        <x:v>2701291</x:v>
      </x:c>
      <x:c r="G48" s="83" t="n">
        <x:v>50</x:v>
      </x:c>
      <x:c r="H48" s="83" t="n">
        <x:v>6565</x:v>
      </x:c>
      <x:c r="I48" s="83" t="n">
        <x:v>451</x:v>
      </x:c>
      <x:c r="J48" s="83" t="n">
        <x:v>81</x:v>
      </x:c>
      <x:c r="K48" s="83" t="n">
        <x:v>143</x:v>
      </x:c>
      <x:c r="L48" s="83" t="n">
        <x:v>0</x:v>
      </x:c>
      <x:c r="M48" s="83" t="n">
        <x:v>650</x:v>
      </x:c>
      <x:c r="N48" s="83" t="n">
        <x:v>0</x:v>
      </x:c>
      <x:c r="O48" s="83" t="n">
        <x:v>0</x:v>
      </x:c>
      <x:c r="P48" s="81" t="str">
        <x:v>PASS</x:v>
      </x:c>
      <x:c r="Q48" s="81" t="str">
        <x:v>PASS</x:v>
      </x:c>
      <x:c r="R48" s="81" t="str">
        <x:v>PASS</x:v>
      </x:c>
    </x:row>
    <x:row r="49" ht="21.600000381469727" hidden="0" customHeight="1">
      <x:c r="A49" s="80" t="str">
        <x:v>ADR-003</x:v>
      </x:c>
      <x:c r="B49" s="80" t="str">
        <x:v>RU</x:v>
      </x:c>
      <x:c r="C49" s="80" t="str">
        <x:v>3.0</x:v>
      </x:c>
      <x:c r="D49" s="80" t="str">
        <x:v>ADR-003_Database_RU_v3_0_Full_Content_Audited_Complete.docx</x:v>
      </x:c>
      <x:c r="E49" s="80" t="str">
        <x:v>docs/02_Architecture_Decision_Records/ADR-003_Database/ADR-003_Database_RU_v3_0_Full_Content_Audited_Complete.docx</x:v>
      </x:c>
      <x:c r="F49" s="82" t="n">
        <x:v>2706747</x:v>
      </x:c>
      <x:c r="G49" s="82" t="n">
        <x:v>53</x:v>
      </x:c>
      <x:c r="H49" s="82" t="n">
        <x:v>7718</x:v>
      </x:c>
      <x:c r="I49" s="82" t="n">
        <x:v>443</x:v>
      </x:c>
      <x:c r="J49" s="82" t="n">
        <x:v>88</x:v>
      </x:c>
      <x:c r="K49" s="82" t="n">
        <x:v>146</x:v>
      </x:c>
      <x:c r="L49" s="82" t="n">
        <x:v>0</x:v>
      </x:c>
      <x:c r="M49" s="82" t="n">
        <x:v>646</x:v>
      </x:c>
      <x:c r="N49" s="82" t="n">
        <x:v>0</x:v>
      </x:c>
      <x:c r="O49" s="82" t="n">
        <x:v>0</x:v>
      </x:c>
      <x:c r="P49" s="80" t="str">
        <x:v>PASS</x:v>
      </x:c>
      <x:c r="Q49" s="80" t="str">
        <x:v>PASS</x:v>
      </x:c>
      <x:c r="R49" s="80" t="str">
        <x:v>PASS</x:v>
      </x:c>
    </x:row>
    <x:row r="50" ht="21.600000381469727" hidden="0" customHeight="1">
      <x:c r="A50" s="81" t="str">
        <x:v>ADR-003</x:v>
      </x:c>
      <x:c r="B50" s="81" t="str">
        <x:v>DE</x:v>
      </x:c>
      <x:c r="C50" s="81" t="str">
        <x:v>3.0</x:v>
      </x:c>
      <x:c r="D50" s="81" t="str">
        <x:v>ADR-003_Database_DE_v3_0_Full_Content_Audited_Complete.docx</x:v>
      </x:c>
      <x:c r="E50" s="81" t="str">
        <x:v>docs/02_Architecture_Decision_Records/ADR-003_Database/ADR-003_Database_DE_v3_0_Full_Content_Audited_Complete.docx</x:v>
      </x:c>
      <x:c r="F50" s="83" t="n">
        <x:v>2702065</x:v>
      </x:c>
      <x:c r="G50" s="83" t="n">
        <x:v>53</x:v>
      </x:c>
      <x:c r="H50" s="83" t="n">
        <x:v>6764</x:v>
      </x:c>
      <x:c r="I50" s="83" t="n">
        <x:v>440</x:v>
      </x:c>
      <x:c r="J50" s="83" t="n">
        <x:v>88</x:v>
      </x:c>
      <x:c r="K50" s="83" t="n">
        <x:v>145</x:v>
      </x:c>
      <x:c r="L50" s="83" t="n">
        <x:v>0</x:v>
      </x:c>
      <x:c r="M50" s="83" t="n">
        <x:v>646</x:v>
      </x:c>
      <x:c r="N50" s="83" t="n">
        <x:v>0</x:v>
      </x:c>
      <x:c r="O50" s="83" t="n">
        <x:v>0</x:v>
      </x:c>
      <x:c r="P50" s="81" t="str">
        <x:v>PASS</x:v>
      </x:c>
      <x:c r="Q50" s="81" t="str">
        <x:v>PASS</x:v>
      </x:c>
      <x:c r="R50" s="81" t="str">
        <x:v>PASS</x:v>
      </x:c>
    </x:row>
    <x:row r="51" ht="21.600000381469727" hidden="0" customHeight="1">
      <x:c r="A51" s="80" t="str">
        <x:v>ADR-004</x:v>
      </x:c>
      <x:c r="B51" s="80" t="str">
        <x:v>RU</x:v>
      </x:c>
      <x:c r="C51" s="80" t="str">
        <x:v>3.0</x:v>
      </x:c>
      <x:c r="D51" s="80" t="str">
        <x:v>ADR-004_Local_AI_RU_v3_0_Full_Content_Audited_Complete.docx</x:v>
      </x:c>
      <x:c r="E51" s="80" t="str">
        <x:v>docs/02_Architecture_Decision_Records/ADR-004_Local_AI/ADR-004_Local_AI_RU_v3_0_Full_Content_Audited_Complete.docx</x:v>
      </x:c>
      <x:c r="F51" s="82" t="n">
        <x:v>2708313</x:v>
      </x:c>
      <x:c r="G51" s="82" t="n">
        <x:v>55</x:v>
      </x:c>
      <x:c r="H51" s="82" t="n">
        <x:v>7879</x:v>
      </x:c>
      <x:c r="I51" s="82" t="n">
        <x:v>440</x:v>
      </x:c>
      <x:c r="J51" s="82" t="n">
        <x:v>90</x:v>
      </x:c>
      <x:c r="K51" s="82" t="n">
        <x:v>149</x:v>
      </x:c>
      <x:c r="L51" s="82" t="n">
        <x:v>0</x:v>
      </x:c>
      <x:c r="M51" s="82" t="n">
        <x:v>648</x:v>
      </x:c>
      <x:c r="N51" s="82" t="n">
        <x:v>0</x:v>
      </x:c>
      <x:c r="O51" s="82" t="n">
        <x:v>0</x:v>
      </x:c>
      <x:c r="P51" s="80" t="str">
        <x:v>PASS</x:v>
      </x:c>
      <x:c r="Q51" s="80" t="str">
        <x:v>PASS</x:v>
      </x:c>
      <x:c r="R51" s="80" t="str">
        <x:v>PASS</x:v>
      </x:c>
    </x:row>
    <x:row r="52" ht="21.600000381469727" hidden="0" customHeight="1">
      <x:c r="A52" s="81" t="str">
        <x:v>ADR-004</x:v>
      </x:c>
      <x:c r="B52" s="81" t="str">
        <x:v>DE</x:v>
      </x:c>
      <x:c r="C52" s="81" t="str">
        <x:v>3.0</x:v>
      </x:c>
      <x:c r="D52" s="81" t="str">
        <x:v>ADR-004_Local_AI_DE_v3_0_Full_Content_Audited_Complete.docx</x:v>
      </x:c>
      <x:c r="E52" s="81" t="str">
        <x:v>docs/02_Architecture_Decision_Records/ADR-004_Local_AI/ADR-004_Local_AI_DE_v3_0_Full_Content_Audited_Complete.docx</x:v>
      </x:c>
      <x:c r="F52" s="83" t="n">
        <x:v>2702835</x:v>
      </x:c>
      <x:c r="G52" s="83" t="n">
        <x:v>54</x:v>
      </x:c>
      <x:c r="H52" s="83" t="n">
        <x:v>6815</x:v>
      </x:c>
      <x:c r="I52" s="83" t="n">
        <x:v>440</x:v>
      </x:c>
      <x:c r="J52" s="83" t="n">
        <x:v>90</x:v>
      </x:c>
      <x:c r="K52" s="83" t="n">
        <x:v>148</x:v>
      </x:c>
      <x:c r="L52" s="83" t="n">
        <x:v>0</x:v>
      </x:c>
      <x:c r="M52" s="83" t="n">
        <x:v>649</x:v>
      </x:c>
      <x:c r="N52" s="83" t="n">
        <x:v>0</x:v>
      </x:c>
      <x:c r="O52" s="83" t="n">
        <x:v>0</x:v>
      </x:c>
      <x:c r="P52" s="81" t="str">
        <x:v>PASS</x:v>
      </x:c>
      <x:c r="Q52" s="81" t="str">
        <x:v>PASS</x:v>
      </x:c>
      <x:c r="R52" s="81" t="str">
        <x:v>PASS</x:v>
      </x:c>
    </x:row>
    <x:row r="53" ht="21.600000381469727" hidden="0" customHeight="1">
      <x:c r="A53" s="80" t="str">
        <x:v>ADR-005</x:v>
      </x:c>
      <x:c r="B53" s="80" t="str">
        <x:v>RU</x:v>
      </x:c>
      <x:c r="C53" s="80" t="str">
        <x:v>3.0</x:v>
      </x:c>
      <x:c r="D53" s="80" t="str">
        <x:v>ADR-005_Save_System_RU_v3_0_Full_Content_Audited_Complete.docx</x:v>
      </x:c>
      <x:c r="E53" s="80" t="str">
        <x:v>docs/02_Architecture_Decision_Records/ADR-005_Save_System/ADR-005_Save_System_RU_v3_0_Full_Content_Audited_Complete.docx</x:v>
      </x:c>
      <x:c r="F53" s="82" t="n">
        <x:v>2707433</x:v>
      </x:c>
      <x:c r="G53" s="82" t="n">
        <x:v>55</x:v>
      </x:c>
      <x:c r="H53" s="82" t="n">
        <x:v>7967</x:v>
      </x:c>
      <x:c r="I53" s="82" t="n">
        <x:v>457</x:v>
      </x:c>
      <x:c r="J53" s="82" t="n">
        <x:v>89</x:v>
      </x:c>
      <x:c r="K53" s="82" t="n">
        <x:v>157</x:v>
      </x:c>
      <x:c r="L53" s="82" t="n">
        <x:v>0</x:v>
      </x:c>
      <x:c r="M53" s="82" t="n">
        <x:v>684</x:v>
      </x:c>
      <x:c r="N53" s="82" t="n">
        <x:v>0</x:v>
      </x:c>
      <x:c r="O53" s="82" t="n">
        <x:v>0</x:v>
      </x:c>
      <x:c r="P53" s="80" t="str">
        <x:v>PASS</x:v>
      </x:c>
      <x:c r="Q53" s="80" t="str">
        <x:v>PASS</x:v>
      </x:c>
      <x:c r="R53" s="80" t="str">
        <x:v>PASS</x:v>
      </x:c>
    </x:row>
    <x:row r="54" ht="21.600000381469727" hidden="0" customHeight="1">
      <x:c r="A54" s="81" t="str">
        <x:v>ADR-005</x:v>
      </x:c>
      <x:c r="B54" s="81" t="str">
        <x:v>DE</x:v>
      </x:c>
      <x:c r="C54" s="81" t="str">
        <x:v>3.0</x:v>
      </x:c>
      <x:c r="D54" s="81" t="str">
        <x:v>ADR-005_Save_System_DE_v3_0_Full_Content_Audited_Complete.docx</x:v>
      </x:c>
      <x:c r="E54" s="81" t="str">
        <x:v>docs/02_Architecture_Decision_Records/ADR-005_Save_System/ADR-005_Save_System_DE_v3_0_Full_Content_Audited_Complete.docx</x:v>
      </x:c>
      <x:c r="F54" s="83" t="n">
        <x:v>2702436</x:v>
      </x:c>
      <x:c r="G54" s="83" t="n">
        <x:v>54</x:v>
      </x:c>
      <x:c r="H54" s="83" t="n">
        <x:v>6850</x:v>
      </x:c>
      <x:c r="I54" s="83" t="n">
        <x:v>455</x:v>
      </x:c>
      <x:c r="J54" s="83" t="n">
        <x:v>89</x:v>
      </x:c>
      <x:c r="K54" s="83" t="n">
        <x:v>156</x:v>
      </x:c>
      <x:c r="L54" s="83" t="n">
        <x:v>0</x:v>
      </x:c>
      <x:c r="M54" s="83" t="n">
        <x:v>683</x:v>
      </x:c>
      <x:c r="N54" s="83" t="n">
        <x:v>0</x:v>
      </x:c>
      <x:c r="O54" s="83" t="n">
        <x:v>0</x:v>
      </x:c>
      <x:c r="P54" s="81" t="str">
        <x:v>PASS</x:v>
      </x:c>
      <x:c r="Q54" s="81" t="str">
        <x:v>PASS</x:v>
      </x:c>
      <x:c r="R54" s="81" t="str">
        <x:v>PASS</x:v>
      </x:c>
    </x:row>
    <x:row r="55" ht="21.600000381469727" hidden="0" customHeight="1">
      <x:c r="A55" s="80" t="str">
        <x:v>ADR-006</x:v>
      </x:c>
      <x:c r="B55" s="80" t="str">
        <x:v>RU</x:v>
      </x:c>
      <x:c r="C55" s="80" t="str">
        <x:v>3.0</x:v>
      </x:c>
      <x:c r="D55" s="80" t="str">
        <x:v>ADR-006_Plugin_Detection_RU_v3_0_Full_Content_Audited_Complete.docx</x:v>
      </x:c>
      <x:c r="E55" s="80" t="str">
        <x:v>docs/02_Architecture_Decision_Records/ADR-006_Plugin_Detection/ADR-006_Plugin_Detection_RU_v3_0_Full_Content_Audited_Complete.docx</x:v>
      </x:c>
      <x:c r="F55" s="82" t="n">
        <x:v>2705848</x:v>
      </x:c>
      <x:c r="G55" s="82" t="n">
        <x:v>54</x:v>
      </x:c>
      <x:c r="H55" s="82" t="n">
        <x:v>7507</x:v>
      </x:c>
      <x:c r="I55" s="82" t="n">
        <x:v>432</x:v>
      </x:c>
      <x:c r="J55" s="82" t="n">
        <x:v>89</x:v>
      </x:c>
      <x:c r="K55" s="82" t="n">
        <x:v>148</x:v>
      </x:c>
      <x:c r="L55" s="82" t="n">
        <x:v>0</x:v>
      </x:c>
      <x:c r="M55" s="82" t="n">
        <x:v>652</x:v>
      </x:c>
      <x:c r="N55" s="82" t="n">
        <x:v>0</x:v>
      </x:c>
      <x:c r="O55" s="82" t="n">
        <x:v>0</x:v>
      </x:c>
      <x:c r="P55" s="80" t="str">
        <x:v>PASS</x:v>
      </x:c>
      <x:c r="Q55" s="80" t="str">
        <x:v>PASS</x:v>
      </x:c>
      <x:c r="R55" s="80" t="str">
        <x:v>PASS</x:v>
      </x:c>
    </x:row>
    <x:row r="56" ht="21.600000381469727" hidden="0" customHeight="1">
      <x:c r="A56" s="81" t="str">
        <x:v>ADR-006</x:v>
      </x:c>
      <x:c r="B56" s="81" t="str">
        <x:v>DE</x:v>
      </x:c>
      <x:c r="C56" s="81" t="str">
        <x:v>3.0</x:v>
      </x:c>
      <x:c r="D56" s="81" t="str">
        <x:v>ADR-006_Plugin_Detection_DE_v3_0_Full_Content_Audited_Complete.docx</x:v>
      </x:c>
      <x:c r="E56" s="81" t="str">
        <x:v>docs/02_Architecture_Decision_Records/ADR-006_Plugin_Detection/ADR-006_Plugin_Detection_DE_v3_0_Full_Content_Audited_Complete.docx</x:v>
      </x:c>
      <x:c r="F56" s="83" t="n">
        <x:v>2699635</x:v>
      </x:c>
      <x:c r="G56" s="83" t="n">
        <x:v>52</x:v>
      </x:c>
      <x:c r="H56" s="83" t="n">
        <x:v>6319</x:v>
      </x:c>
      <x:c r="I56" s="83" t="n">
        <x:v>430</x:v>
      </x:c>
      <x:c r="J56" s="83" t="n">
        <x:v>89</x:v>
      </x:c>
      <x:c r="K56" s="83" t="n">
        <x:v>147</x:v>
      </x:c>
      <x:c r="L56" s="83" t="n">
        <x:v>0</x:v>
      </x:c>
      <x:c r="M56" s="83" t="n">
        <x:v>652</x:v>
      </x:c>
      <x:c r="N56" s="83" t="n">
        <x:v>0</x:v>
      </x:c>
      <x:c r="O56" s="83" t="n">
        <x:v>0</x:v>
      </x:c>
      <x:c r="P56" s="81" t="str">
        <x:v>PASS</x:v>
      </x:c>
      <x:c r="Q56" s="81" t="str">
        <x:v>PASS</x:v>
      </x:c>
      <x:c r="R56" s="81" t="str">
        <x:v>PASS</x:v>
      </x:c>
    </x:row>
    <x:row r="57" ht="21.600000381469727" hidden="0" customHeight="1">
      <x:c r="A57" s="80" t="str">
        <x:v>ADR-007</x:v>
      </x:c>
      <x:c r="B57" s="80" t="str">
        <x:v>RU</x:v>
      </x:c>
      <x:c r="C57" s="80" t="str">
        <x:v>3.0</x:v>
      </x:c>
      <x:c r="D57" s="80" t="str">
        <x:v>ADR-007_Multi_Game_Support_RU_v3_0_Full_Content_Audited_Complete.docx</x:v>
      </x:c>
      <x:c r="E57" s="80" t="str">
        <x:v>docs/02_Architecture_Decision_Records/ADR-007_Multi_Game_Support/ADR-007_Multi_Game_Support_RU_v3_0_Full_Content_Audited_Complete.docx</x:v>
      </x:c>
      <x:c r="F57" s="82" t="n">
        <x:v>2704529</x:v>
      </x:c>
      <x:c r="G57" s="82" t="n">
        <x:v>51</x:v>
      </x:c>
      <x:c r="H57" s="82" t="n">
        <x:v>7363</x:v>
      </x:c>
      <x:c r="I57" s="82" t="n">
        <x:v>408</x:v>
      </x:c>
      <x:c r="J57" s="82" t="n">
        <x:v>83</x:v>
      </x:c>
      <x:c r="K57" s="82" t="n">
        <x:v>140</x:v>
      </x:c>
      <x:c r="L57" s="82" t="n">
        <x:v>0</x:v>
      </x:c>
      <x:c r="M57" s="82" t="n">
        <x:v>625</x:v>
      </x:c>
      <x:c r="N57" s="82" t="n">
        <x:v>0</x:v>
      </x:c>
      <x:c r="O57" s="82" t="n">
        <x:v>0</x:v>
      </x:c>
      <x:c r="P57" s="80" t="str">
        <x:v>PASS</x:v>
      </x:c>
      <x:c r="Q57" s="80" t="str">
        <x:v>PASS</x:v>
      </x:c>
      <x:c r="R57" s="80" t="str">
        <x:v>PASS</x:v>
      </x:c>
    </x:row>
    <x:row r="58" ht="21.600000381469727" hidden="0" customHeight="1">
      <x:c r="A58" s="81" t="str">
        <x:v>ADR-007</x:v>
      </x:c>
      <x:c r="B58" s="81" t="str">
        <x:v>DE</x:v>
      </x:c>
      <x:c r="C58" s="81" t="str">
        <x:v>3.0</x:v>
      </x:c>
      <x:c r="D58" s="81" t="str">
        <x:v>ADR-007_Multi_Game_Support_DE_v3_0_Full_Content_Audited_Complete.docx</x:v>
      </x:c>
      <x:c r="E58" s="81" t="str">
        <x:v>docs/02_Architecture_Decision_Records/ADR-007_Multi_Game_Support/ADR-007_Multi_Game_Support_DE_v3_0_Full_Content_Audited_Complete.docx</x:v>
      </x:c>
      <x:c r="F58" s="83" t="n">
        <x:v>2699247</x:v>
      </x:c>
      <x:c r="G58" s="83" t="n">
        <x:v>51</x:v>
      </x:c>
      <x:c r="H58" s="83" t="n">
        <x:v>6249</x:v>
      </x:c>
      <x:c r="I58" s="83" t="n">
        <x:v>407</x:v>
      </x:c>
      <x:c r="J58" s="83" t="n">
        <x:v>83</x:v>
      </x:c>
      <x:c r="K58" s="83" t="n">
        <x:v>139</x:v>
      </x:c>
      <x:c r="L58" s="83" t="n">
        <x:v>0</x:v>
      </x:c>
      <x:c r="M58" s="83" t="n">
        <x:v>625</x:v>
      </x:c>
      <x:c r="N58" s="83" t="n">
        <x:v>0</x:v>
      </x:c>
      <x:c r="O58" s="83" t="n">
        <x:v>0</x:v>
      </x:c>
      <x:c r="P58" s="81" t="str">
        <x:v>PASS</x:v>
      </x:c>
      <x:c r="Q58" s="81" t="str">
        <x:v>PASS</x:v>
      </x:c>
      <x:c r="R58" s="81" t="str">
        <x:v>PASS</x:v>
      </x:c>
    </x:row>
    <x:row r="59" ht="21.600000381469727" hidden="0" customHeight="1">
      <x:c r="A59" s="80" t="str">
        <x:v>ADR-008</x:v>
      </x:c>
      <x:c r="B59" s="80" t="str">
        <x:v>RU</x:v>
      </x:c>
      <x:c r="C59" s="80" t="str">
        <x:v>2.0</x:v>
      </x:c>
      <x:c r="D59" s="80" t="str">
        <x:v>ADR-008_Dependency_Semantics_Contract_Ownership_RU_v2_0_Full_Content_Audited_Complete.docx</x:v>
      </x:c>
      <x:c r="E59" s="80" t="str">
        <x:v>docs/02_Architecture_Decision_Records/ADR-008_Dependency_Semantics_Contract_Ownership/ADR-008_Dependency_Semantics_Contract_Ownership_RU_v2_0_Full_Content_Audited_Complete.docx</x:v>
      </x:c>
      <x:c r="F59" s="82" t="n">
        <x:v>2672543</x:v>
      </x:c>
      <x:c r="G59" s="82" t="n">
        <x:v>8</x:v>
      </x:c>
      <x:c r="H59" s="82" t="n">
        <x:v>1034</x:v>
      </x:c>
      <x:c r="I59" s="82" t="n">
        <x:v>68</x:v>
      </x:c>
      <x:c r="J59" s="82" t="n">
        <x:v>8</x:v>
      </x:c>
      <x:c r="K59" s="82" t="n">
        <x:v>25</x:v>
      </x:c>
      <x:c r="L59" s="82" t="n">
        <x:v>0</x:v>
      </x:c>
      <x:c r="M59" s="82" t="n">
        <x:v>73</x:v>
      </x:c>
      <x:c r="N59" s="82" t="n">
        <x:v>0</x:v>
      </x:c>
      <x:c r="O59" s="82" t="n">
        <x:v>0</x:v>
      </x:c>
      <x:c r="P59" s="80" t="str">
        <x:v>PASS</x:v>
      </x:c>
      <x:c r="Q59" s="80" t="str">
        <x:v>PASS</x:v>
      </x:c>
      <x:c r="R59" s="80" t="str">
        <x:v>PASS</x:v>
      </x:c>
    </x:row>
    <x:row r="60" ht="21.600000381469727" hidden="0" customHeight="1">
      <x:c r="A60" s="81" t="str">
        <x:v>ADR-008</x:v>
      </x:c>
      <x:c r="B60" s="81" t="str">
        <x:v>DE</x:v>
      </x:c>
      <x:c r="C60" s="81" t="str">
        <x:v>2.0</x:v>
      </x:c>
      <x:c r="D60" s="81" t="str">
        <x:v>ADR-008_Dependency_Semantics_Contract_Ownership_DE_v2_0_Full_Content_Audited_Complete.docx</x:v>
      </x:c>
      <x:c r="E60" s="81" t="str">
        <x:v>docs/02_Architecture_Decision_Records/ADR-008_Dependency_Semantics_Contract_Ownership/ADR-008_Dependency_Semantics_Contract_Ownership_DE_v2_0_Full_Content_Audited_Complete.docx</x:v>
      </x:c>
      <x:c r="F60" s="83" t="n">
        <x:v>2671841</x:v>
      </x:c>
      <x:c r="G60" s="83" t="n">
        <x:v>8</x:v>
      </x:c>
      <x:c r="H60" s="83" t="n">
        <x:v>1037</x:v>
      </x:c>
      <x:c r="I60" s="83" t="n">
        <x:v>68</x:v>
      </x:c>
      <x:c r="J60" s="83" t="n">
        <x:v>8</x:v>
      </x:c>
      <x:c r="K60" s="83" t="n">
        <x:v>25</x:v>
      </x:c>
      <x:c r="L60" s="83" t="n">
        <x:v>0</x:v>
      </x:c>
      <x:c r="M60" s="83" t="n">
        <x:v>73</x:v>
      </x:c>
      <x:c r="N60" s="83" t="n">
        <x:v>0</x:v>
      </x:c>
      <x:c r="O60" s="83" t="n">
        <x:v>0</x:v>
      </x:c>
      <x:c r="P60" s="81" t="str">
        <x:v>PASS</x:v>
      </x:c>
      <x:c r="Q60" s="81" t="str">
        <x:v>PASS</x:v>
      </x:c>
      <x:c r="R60" s="81" t="str">
        <x:v>PASS</x:v>
      </x:c>
    </x:row>
    <x:row r="61" ht="15" hidden="0" customHeight="1">
      <x:c r="A61" s="80" t="str">
        <x:v>MOD-001</x:v>
      </x:c>
      <x:c r="B61" s="80" t="str">
        <x:v>RU</x:v>
      </x:c>
      <x:c r="C61" s="80" t="str">
        <x:v>2.0</x:v>
      </x:c>
      <x:c r="D61" s="80" t="str">
        <x:v>MOD-001_Core_RU_v2_0_Full_Content_Audited_Complete.docx</x:v>
      </x:c>
      <x:c r="E61" s="80" t="str">
        <x:v>docs/03_Modules/MOD-001_Core/MOD-001_Core_RU_v2_0_Full_Content_Audited_Complete.docx</x:v>
      </x:c>
      <x:c r="F61" s="82" t="n">
        <x:v>2769778</x:v>
      </x:c>
      <x:c r="G61" s="82" t="n">
        <x:v>128</x:v>
      </x:c>
      <x:c r="H61" s="82" t="n">
        <x:v>22627</x:v>
      </x:c>
      <x:c r="I61" s="82" t="n">
        <x:v>1471</x:v>
      </x:c>
      <x:c r="J61" s="82" t="n">
        <x:v>121</x:v>
      </x:c>
      <x:c r="K61" s="82" t="n">
        <x:v>350</x:v>
      </x:c>
      <x:c r="L61" s="82" t="n">
        <x:v>0</x:v>
      </x:c>
      <x:c r="M61" s="82" t="n">
        <x:v>1933</x:v>
      </x:c>
      <x:c r="N61" s="82" t="n">
        <x:v>0</x:v>
      </x:c>
      <x:c r="O61" s="82" t="n">
        <x:v>0</x:v>
      </x:c>
      <x:c r="P61" s="80" t="str">
        <x:v>PASS</x:v>
      </x:c>
      <x:c r="Q61" s="80" t="str">
        <x:v>PASS</x:v>
      </x:c>
      <x:c r="R61" s="80" t="str">
        <x:v>PASS</x:v>
      </x:c>
    </x:row>
    <x:row r="62" ht="15" hidden="0" customHeight="1">
      <x:c r="A62" s="81" t="str">
        <x:v>MOD-001</x:v>
      </x:c>
      <x:c r="B62" s="81" t="str">
        <x:v>DE</x:v>
      </x:c>
      <x:c r="C62" s="81" t="str">
        <x:v>2.0</x:v>
      </x:c>
      <x:c r="D62" s="81" t="str">
        <x:v>MOD-001_Core_DE_v2_0_Full_Content_Audited_Complete.docx</x:v>
      </x:c>
      <x:c r="E62" s="81" t="str">
        <x:v>docs/03_Modules/MOD-001_Core/MOD-001_Core_DE_v2_0_Full_Content_Audited_Complete.docx</x:v>
      </x:c>
      <x:c r="F62" s="83" t="n">
        <x:v>2762535</x:v>
      </x:c>
      <x:c r="G62" s="83" t="n">
        <x:v>127</x:v>
      </x:c>
      <x:c r="H62" s="83" t="n">
        <x:v>22675</x:v>
      </x:c>
      <x:c r="I62" s="83" t="n">
        <x:v>1473</x:v>
      </x:c>
      <x:c r="J62" s="83" t="n">
        <x:v>121</x:v>
      </x:c>
      <x:c r="K62" s="83" t="n">
        <x:v>353</x:v>
      </x:c>
      <x:c r="L62" s="83" t="n">
        <x:v>0</x:v>
      </x:c>
      <x:c r="M62" s="83" t="n">
        <x:v>1933</x:v>
      </x:c>
      <x:c r="N62" s="83" t="n">
        <x:v>0</x:v>
      </x:c>
      <x:c r="O62" s="83" t="n">
        <x:v>0</x:v>
      </x:c>
      <x:c r="P62" s="81" t="str">
        <x:v>PASS</x:v>
      </x:c>
      <x:c r="Q62" s="81" t="str">
        <x:v>PASS</x:v>
      </x:c>
      <x:c r="R62" s="81" t="str">
        <x:v>PASS</x:v>
      </x:c>
    </x:row>
    <x:row r="63" ht="15" hidden="0" customHeight="1">
      <x:c r="A63" s="80" t="str">
        <x:v>AUDIT-000</x:v>
      </x:c>
      <x:c r="B63" s="80" t="str">
        <x:v>MIXED</x:v>
      </x:c>
      <x:c r="C63" s="80" t="str">
        <x:v>1.0</x:v>
      </x:c>
      <x:c r="D63" s="80" t="str">
        <x:v>AUDIT-000_World_Engine_Architecture_Audit_Record_v1_0_Complete.docx</x:v>
      </x:c>
      <x:c r="E63" s="80" t="str">
        <x:v>docs/01_Architecture/AUDIT-000_World_Engine_Architecture_Audit_Record_v1_0_Complete.docx</x:v>
      </x:c>
      <x:c r="F63" s="82" t="n">
        <x:v>2787658</x:v>
      </x:c>
      <x:c r="G63" s="82" t="n">
        <x:v>170</x:v>
      </x:c>
      <x:c r="H63" s="82" t="n">
        <x:v>36375</x:v>
      </x:c>
      <x:c r="I63" s="82" t="n">
        <x:v>3314</x:v>
      </x:c>
      <x:c r="J63" s="82" t="n">
        <x:v>39</x:v>
      </x:c>
      <x:c r="K63" s="82" t="n">
        <x:v>539</x:v>
      </x:c>
      <x:c r="L63" s="82" t="n">
        <x:v>0</x:v>
      </x:c>
      <x:c r="M63" s="82" t="n">
        <x:v>3542</x:v>
      </x:c>
      <x:c r="N63" s="82" t="n">
        <x:v>0</x:v>
      </x:c>
      <x:c r="O63" s="82" t="n">
        <x:v>0</x:v>
      </x:c>
      <x:c r="P63" s="80" t="str">
        <x:v>PASS</x:v>
      </x:c>
      <x:c r="Q63" s="80" t="str">
        <x:v>PASS</x:v>
      </x:c>
      <x:c r="R63" s="80" t="str">
        <x:v>PASS</x:v>
      </x:c>
    </x:row>
  </x:sheetData>
  <x:conditionalFormatting sqref="P5:R63">
    <x:cfRule type="containsText" dxfId="14" priority="1" operator="containsText" text="PASS"/>
    <x:cfRule type="containsText" dxfId="15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0058ebc7fc14aae"/>
  </x:tableParts>
</x:worksheet>
</file>

<file path=xl/worksheets/sheet5.xml><?xml version="1.0" encoding="utf-8"?>
<x:worksheet xmlns:x="http://schemas.openxmlformats.org/spreadsheetml/2006/main">
  <x:sheetPr>
    <x:tabColor rgb="FF3F3296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72" hidden="0" customWidth="1"/>
    <x:col min="2" max="2" width="28" hidden="0" customWidth="1"/>
    <x:col min="3" max="3" width="16" hidden="0" customWidth="1"/>
    <x:col min="4" max="4" width="12" hidden="0" customWidth="1"/>
    <x:col min="5" max="5" width="18" hidden="0" customWidth="1"/>
    <x:col min="6" max="6" width="20" hidden="0" customWidth="1"/>
    <x:col min="7" max="7" width="16" hidden="0" customWidth="1"/>
    <x:col min="8" max="8" width="14" hidden="0" customWidth="1"/>
    <x:col min="9" max="9" width="26" hidden="0" customWidth="1"/>
  </x:cols>
  <x:sheetData>
    <x:row r="1" ht="26" customHeight="1">
      <x:c r="A1" s="61" t="str">
        <x:v>Content coverage</x:v>
      </x:c>
      <x:c r="B1" s="61"/>
      <x:c r="C1" s="61"/>
      <x:c r="D1" s="61"/>
      <x:c r="E1" s="61"/>
      <x:c r="F1" s="61"/>
      <x:c r="G1" s="61"/>
      <x:c r="H1" s="61"/>
      <x:c r="I1" s="61"/>
    </x:row>
    <x:row r="2" ht="20" customHeight="1">
      <x:c r="A2" s="62" t="str">
        <x:v>Per-source aggregation of included content, exact duplicate suppression and packaging-only exclusions.</x:v>
      </x:c>
      <x:c r="B2" s="62"/>
      <x:c r="C2" s="62"/>
      <x:c r="D2" s="62"/>
      <x:c r="E2" s="62"/>
      <x:c r="F2" s="62"/>
      <x:c r="G2" s="62"/>
      <x:c r="H2" s="62"/>
      <x:c r="I2" s="62"/>
    </x:row>
    <x:row r="4" ht="34" customHeight="1">
      <x:c r="A4" s="74" t="str">
        <x:v>Source path</x:v>
      </x:c>
      <x:c r="B4" s="75" t="str">
        <x:v>Content kinds</x:v>
      </x:c>
      <x:c r="C4" s="75" t="str">
        <x:v>Coverage rows</x:v>
      </x:c>
      <x:c r="D4" s="75" t="str">
        <x:v>Included</x:v>
      </x:c>
      <x:c r="E4" s="75" t="str">
        <x:v>Exact duplicates</x:v>
      </x:c>
      <x:c r="F4" s="75" t="str">
        <x:v>Packaging excluded</x:v>
      </x:c>
      <x:c r="G4" s="75" t="str">
        <x:v>Empty excluded</x:v>
      </x:c>
      <x:c r="H4" s="75" t="str">
        <x:v>Unsupported</x:v>
      </x:c>
      <x:c r="I4" s="76" t="str">
        <x:v>Coverage</x:v>
      </x:c>
    </x:row>
    <x:row r="5" ht="15" hidden="0" customHeight="1">
      <x:c r="A5" s="80" t="str">
        <x:v>docs/00_Project_Management/DOC-001_World_Engine_Vision_DE_v2.docx</x:v>
      </x:c>
      <x:c r="B5" s="80" t="str">
        <x:v>paragraph, table</x:v>
      </x:c>
      <x:c r="C5" s="82" t="n">
        <x:v>47</x:v>
      </x:c>
      <x:c r="D5" s="82" t="n">
        <x:v>44</x:v>
      </x:c>
      <x:c r="E5" s="82" t="n">
        <x:v>0</x:v>
      </x:c>
      <x:c r="F5" s="82" t="n">
        <x:v>0</x:v>
      </x:c>
      <x:c r="G5" s="82" t="n">
        <x:v>3</x:v>
      </x:c>
      <x:c r="H5" s="82" t="n">
        <x:v>0</x:v>
      </x:c>
      <x:c r="I5" s="80" t="str">
        <x:v>Covered</x:v>
      </x:c>
    </x:row>
    <x:row r="6" ht="15" hidden="0" customHeight="1">
      <x:c r="A6" s="81" t="str">
        <x:v>docs/00_Project_Management/DOC-001_World_Engine_Vision_RU_v2.docx</x:v>
      </x:c>
      <x:c r="B6" s="81" t="str">
        <x:v>paragraph, table</x:v>
      </x:c>
      <x:c r="C6" s="83" t="n">
        <x:v>47</x:v>
      </x:c>
      <x:c r="D6" s="83" t="n">
        <x:v>44</x:v>
      </x:c>
      <x:c r="E6" s="83" t="n">
        <x:v>0</x:v>
      </x:c>
      <x:c r="F6" s="83" t="n">
        <x:v>0</x:v>
      </x:c>
      <x:c r="G6" s="83" t="n">
        <x:v>3</x:v>
      </x:c>
      <x:c r="H6" s="83" t="n">
        <x:v>0</x:v>
      </x:c>
      <x:c r="I6" s="81" t="str">
        <x:v>Covered</x:v>
      </x:c>
    </x:row>
    <x:row r="7" ht="15" hidden="0" customHeight="1">
      <x:c r="A7" s="80" t="str">
        <x:v>docs/00_Project_Management/DOC-002_World_Engine_Project_Principles_DE_v2.docx</x:v>
      </x:c>
      <x:c r="B7" s="80" t="str">
        <x:v>paragraph, table</x:v>
      </x:c>
      <x:c r="C7" s="82" t="n">
        <x:v>28</x:v>
      </x:c>
      <x:c r="D7" s="82" t="n">
        <x:v>24</x:v>
      </x:c>
      <x:c r="E7" s="82" t="n">
        <x:v>0</x:v>
      </x:c>
      <x:c r="F7" s="82" t="n">
        <x:v>0</x:v>
      </x:c>
      <x:c r="G7" s="82" t="n">
        <x:v>4</x:v>
      </x:c>
      <x:c r="H7" s="82" t="n">
        <x:v>0</x:v>
      </x:c>
      <x:c r="I7" s="80" t="str">
        <x:v>Covered</x:v>
      </x:c>
    </x:row>
    <x:row r="8" ht="15" hidden="0" customHeight="1">
      <x:c r="A8" s="81" t="str">
        <x:v>docs/00_Project_Management/DOC-002_World_Engine_Project_Principles_RU_v2.docx</x:v>
      </x:c>
      <x:c r="B8" s="81" t="str">
        <x:v>paragraph, table</x:v>
      </x:c>
      <x:c r="C8" s="83" t="n">
        <x:v>28</x:v>
      </x:c>
      <x:c r="D8" s="83" t="n">
        <x:v>24</x:v>
      </x:c>
      <x:c r="E8" s="83" t="n">
        <x:v>0</x:v>
      </x:c>
      <x:c r="F8" s="83" t="n">
        <x:v>0</x:v>
      </x:c>
      <x:c r="G8" s="83" t="n">
        <x:v>4</x:v>
      </x:c>
      <x:c r="H8" s="83" t="n">
        <x:v>0</x:v>
      </x:c>
      <x:c r="I8" s="81" t="str">
        <x:v>Covered</x:v>
      </x:c>
    </x:row>
    <x:row r="9" ht="15" hidden="0" customHeight="1">
      <x:c r="A9" s="80" t="str">
        <x:v>docs/00_Project_Management/DOC-003_World_Engine_Product_Roadmap_DE_v3_1.docx</x:v>
      </x:c>
      <x:c r="B9" s="80" t="str">
        <x:v>paragraph, table</x:v>
      </x:c>
      <x:c r="C9" s="82" t="n">
        <x:v>78</x:v>
      </x:c>
      <x:c r="D9" s="82" t="n">
        <x:v>73</x:v>
      </x:c>
      <x:c r="E9" s="82" t="n">
        <x:v>0</x:v>
      </x:c>
      <x:c r="F9" s="82" t="n">
        <x:v>0</x:v>
      </x:c>
      <x:c r="G9" s="82" t="n">
        <x:v>5</x:v>
      </x:c>
      <x:c r="H9" s="82" t="n">
        <x:v>0</x:v>
      </x:c>
      <x:c r="I9" s="80" t="str">
        <x:v>Covered</x:v>
      </x:c>
    </x:row>
    <x:row r="10" ht="15" hidden="0" customHeight="1">
      <x:c r="A10" s="81" t="str">
        <x:v>docs/00_Project_Management/DOC-003_World_Engine_Product_Roadmap_RU_v3_1.docx</x:v>
      </x:c>
      <x:c r="B10" s="81" t="str">
        <x:v>paragraph, table</x:v>
      </x:c>
      <x:c r="C10" s="83" t="n">
        <x:v>78</x:v>
      </x:c>
      <x:c r="D10" s="83" t="n">
        <x:v>73</x:v>
      </x:c>
      <x:c r="E10" s="83" t="n">
        <x:v>0</x:v>
      </x:c>
      <x:c r="F10" s="83" t="n">
        <x:v>0</x:v>
      </x:c>
      <x:c r="G10" s="83" t="n">
        <x:v>5</x:v>
      </x:c>
      <x:c r="H10" s="83" t="n">
        <x:v>0</x:v>
      </x:c>
      <x:c r="I10" s="81" t="str">
        <x:v>Covered</x:v>
      </x:c>
    </x:row>
    <x:row r="11" ht="15" hidden="0" customHeight="1">
      <x:c r="A11" s="80" t="str">
        <x:v>docs/00_Project_Management/DOC-004_World_Engine_Implementation_Roadmap_DE_v2.docx</x:v>
      </x:c>
      <x:c r="B11" s="80" t="str">
        <x:v>paragraph, table</x:v>
      </x:c>
      <x:c r="C11" s="82" t="n">
        <x:v>75</x:v>
      </x:c>
      <x:c r="D11" s="82" t="n">
        <x:v>68</x:v>
      </x:c>
      <x:c r="E11" s="82" t="n">
        <x:v>0</x:v>
      </x:c>
      <x:c r="F11" s="82" t="n">
        <x:v>0</x:v>
      </x:c>
      <x:c r="G11" s="82" t="n">
        <x:v>7</x:v>
      </x:c>
      <x:c r="H11" s="82" t="n">
        <x:v>0</x:v>
      </x:c>
      <x:c r="I11" s="80" t="str">
        <x:v>Covered</x:v>
      </x:c>
    </x:row>
    <x:row r="12" ht="15" hidden="0" customHeight="1">
      <x:c r="A12" s="81" t="str">
        <x:v>docs/00_Project_Management/DOC-004_World_Engine_Implementation_Roadmap_RU_v2.docx</x:v>
      </x:c>
      <x:c r="B12" s="81" t="str">
        <x:v>paragraph, table</x:v>
      </x:c>
      <x:c r="C12" s="83" t="n">
        <x:v>75</x:v>
      </x:c>
      <x:c r="D12" s="83" t="n">
        <x:v>68</x:v>
      </x:c>
      <x:c r="E12" s="83" t="n">
        <x:v>0</x:v>
      </x:c>
      <x:c r="F12" s="83" t="n">
        <x:v>0</x:v>
      </x:c>
      <x:c r="G12" s="83" t="n">
        <x:v>7</x:v>
      </x:c>
      <x:c r="H12" s="83" t="n">
        <x:v>0</x:v>
      </x:c>
      <x:c r="I12" s="81" t="str">
        <x:v>Covered</x:v>
      </x:c>
    </x:row>
    <x:row r="13" ht="15" hidden="0" customHeight="1">
      <x:c r="A13" s="80" t="str">
        <x:v>docs/00_Project_Management/DOC-005_World_Engine_Project_Charter_DE_v2.docx</x:v>
      </x:c>
      <x:c r="B13" s="80" t="str">
        <x:v>paragraph, table</x:v>
      </x:c>
      <x:c r="C13" s="82" t="n">
        <x:v>102</x:v>
      </x:c>
      <x:c r="D13" s="82" t="n">
        <x:v>96</x:v>
      </x:c>
      <x:c r="E13" s="82" t="n">
        <x:v>0</x:v>
      </x:c>
      <x:c r="F13" s="82" t="n">
        <x:v>0</x:v>
      </x:c>
      <x:c r="G13" s="82" t="n">
        <x:v>6</x:v>
      </x:c>
      <x:c r="H13" s="82" t="n">
        <x:v>0</x:v>
      </x:c>
      <x:c r="I13" s="80" t="str">
        <x:v>Covered</x:v>
      </x:c>
    </x:row>
    <x:row r="14" ht="15" hidden="0" customHeight="1">
      <x:c r="A14" s="81" t="str">
        <x:v>docs/00_Project_Management/DOC-005_World_Engine_Project_Charter_RU_v2.docx</x:v>
      </x:c>
      <x:c r="B14" s="81" t="str">
        <x:v>paragraph, table</x:v>
      </x:c>
      <x:c r="C14" s="83" t="n">
        <x:v>102</x:v>
      </x:c>
      <x:c r="D14" s="83" t="n">
        <x:v>96</x:v>
      </x:c>
      <x:c r="E14" s="83" t="n">
        <x:v>0</x:v>
      </x:c>
      <x:c r="F14" s="83" t="n">
        <x:v>0</x:v>
      </x:c>
      <x:c r="G14" s="83" t="n">
        <x:v>6</x:v>
      </x:c>
      <x:c r="H14" s="83" t="n">
        <x:v>0</x:v>
      </x:c>
      <x:c r="I14" s="81" t="str">
        <x:v>Covered</x:v>
      </x:c>
    </x:row>
    <x:row r="15" ht="15" hidden="0" customHeight="1">
      <x:c r="A15" s="80" t="str">
        <x:v>docs/00_Project_Management/DOC-006_World_Engine_Project_Scope_DE_v3.docx</x:v>
      </x:c>
      <x:c r="B15" s="80" t="str">
        <x:v>paragraph, table</x:v>
      </x:c>
      <x:c r="C15" s="82" t="n">
        <x:v>71</x:v>
      </x:c>
      <x:c r="D15" s="82" t="n">
        <x:v>66</x:v>
      </x:c>
      <x:c r="E15" s="82" t="n">
        <x:v>0</x:v>
      </x:c>
      <x:c r="F15" s="82" t="n">
        <x:v>0</x:v>
      </x:c>
      <x:c r="G15" s="82" t="n">
        <x:v>5</x:v>
      </x:c>
      <x:c r="H15" s="82" t="n">
        <x:v>0</x:v>
      </x:c>
      <x:c r="I15" s="80" t="str">
        <x:v>Covered</x:v>
      </x:c>
    </x:row>
    <x:row r="16" ht="15" hidden="0" customHeight="1">
      <x:c r="A16" s="81" t="str">
        <x:v>docs/00_Project_Management/DOC-006_World_Engine_Project_Scope_RU_v3.docx</x:v>
      </x:c>
      <x:c r="B16" s="81" t="str">
        <x:v>paragraph, table</x:v>
      </x:c>
      <x:c r="C16" s="83" t="n">
        <x:v>71</x:v>
      </x:c>
      <x:c r="D16" s="83" t="n">
        <x:v>66</x:v>
      </x:c>
      <x:c r="E16" s="83" t="n">
        <x:v>0</x:v>
      </x:c>
      <x:c r="F16" s="83" t="n">
        <x:v>0</x:v>
      </x:c>
      <x:c r="G16" s="83" t="n">
        <x:v>5</x:v>
      </x:c>
      <x:c r="H16" s="83" t="n">
        <x:v>0</x:v>
      </x:c>
      <x:c r="I16" s="81" t="str">
        <x:v>Covered</x:v>
      </x:c>
    </x:row>
    <x:row r="17" ht="15" hidden="0" customHeight="1">
      <x:c r="A17" s="80" t="str">
        <x:v>docs/00_Project_Management/DOC-007_World_Engine_Project_Milestones_DE_v1.docx</x:v>
      </x:c>
      <x:c r="B17" s="80" t="str">
        <x:v>paragraph, table</x:v>
      </x:c>
      <x:c r="C17" s="82" t="n">
        <x:v>49</x:v>
      </x:c>
      <x:c r="D17" s="82" t="n">
        <x:v>43</x:v>
      </x:c>
      <x:c r="E17" s="82" t="n">
        <x:v>0</x:v>
      </x:c>
      <x:c r="F17" s="82" t="n">
        <x:v>0</x:v>
      </x:c>
      <x:c r="G17" s="82" t="n">
        <x:v>6</x:v>
      </x:c>
      <x:c r="H17" s="82" t="n">
        <x:v>0</x:v>
      </x:c>
      <x:c r="I17" s="80" t="str">
        <x:v>Covered</x:v>
      </x:c>
    </x:row>
    <x:row r="18" ht="15" hidden="0" customHeight="1">
      <x:c r="A18" s="81" t="str">
        <x:v>docs/00_Project_Management/DOC-007_World_Engine_Project_Milestones_RU_v1.docx</x:v>
      </x:c>
      <x:c r="B18" s="81" t="str">
        <x:v>paragraph, table</x:v>
      </x:c>
      <x:c r="C18" s="83" t="n">
        <x:v>49</x:v>
      </x:c>
      <x:c r="D18" s="83" t="n">
        <x:v>43</x:v>
      </x:c>
      <x:c r="E18" s="83" t="n">
        <x:v>0</x:v>
      </x:c>
      <x:c r="F18" s="83" t="n">
        <x:v>0</x:v>
      </x:c>
      <x:c r="G18" s="83" t="n">
        <x:v>6</x:v>
      </x:c>
      <x:c r="H18" s="83" t="n">
        <x:v>0</x:v>
      </x:c>
      <x:c r="I18" s="81" t="str">
        <x:v>Covered</x:v>
      </x:c>
    </x:row>
    <x:row r="19" ht="15" hidden="0" customHeight="1">
      <x:c r="A19" s="80" t="str">
        <x:v>docs/00_Project_Management/DOC-008_World_Engine_Release_Plan_DE_v1.docx</x:v>
      </x:c>
      <x:c r="B19" s="80" t="str">
        <x:v>paragraph, table</x:v>
      </x:c>
      <x:c r="C19" s="82" t="n">
        <x:v>82</x:v>
      </x:c>
      <x:c r="D19" s="82" t="n">
        <x:v>75</x:v>
      </x:c>
      <x:c r="E19" s="82" t="n">
        <x:v>0</x:v>
      </x:c>
      <x:c r="F19" s="82" t="n">
        <x:v>0</x:v>
      </x:c>
      <x:c r="G19" s="82" t="n">
        <x:v>7</x:v>
      </x:c>
      <x:c r="H19" s="82" t="n">
        <x:v>0</x:v>
      </x:c>
      <x:c r="I19" s="80" t="str">
        <x:v>Covered</x:v>
      </x:c>
    </x:row>
    <x:row r="20" ht="15" hidden="0" customHeight="1">
      <x:c r="A20" s="81" t="str">
        <x:v>docs/00_Project_Management/DOC-008_World_Engine_Release_Plan_RU_v1.docx</x:v>
      </x:c>
      <x:c r="B20" s="81" t="str">
        <x:v>paragraph, table</x:v>
      </x:c>
      <x:c r="C20" s="83" t="n">
        <x:v>82</x:v>
      </x:c>
      <x:c r="D20" s="83" t="n">
        <x:v>75</x:v>
      </x:c>
      <x:c r="E20" s="83" t="n">
        <x:v>0</x:v>
      </x:c>
      <x:c r="F20" s="83" t="n">
        <x:v>0</x:v>
      </x:c>
      <x:c r="G20" s="83" t="n">
        <x:v>7</x:v>
      </x:c>
      <x:c r="H20" s="83" t="n">
        <x:v>0</x:v>
      </x:c>
      <x:c r="I20" s="81" t="str">
        <x:v>Covered</x:v>
      </x:c>
    </x:row>
    <x:row r="21" ht="21.600000381469727" hidden="0" customHeight="1">
      <x:c r="A21" s="80" t="str">
        <x:v>docs/01_Architecture/ARCH-001_Overall_System_Architecture/ARCH-001_World_Engine_Overall_System_Architecture_DE_v1_4_Architecture_Audited_Complete.docx</x:v>
      </x:c>
      <x:c r="B21" s="80" t="str">
        <x:v>paragraph, table</x:v>
      </x:c>
      <x:c r="C21" s="82" t="n">
        <x:v>48</x:v>
      </x:c>
      <x:c r="D21" s="82" t="n">
        <x:v>41</x:v>
      </x:c>
      <x:c r="E21" s="82" t="n">
        <x:v>0</x:v>
      </x:c>
      <x:c r="F21" s="82" t="n">
        <x:v>0</x:v>
      </x:c>
      <x:c r="G21" s="82" t="n">
        <x:v>7</x:v>
      </x:c>
      <x:c r="H21" s="82" t="n">
        <x:v>0</x:v>
      </x:c>
      <x:c r="I21" s="80" t="str">
        <x:v>Covered</x:v>
      </x:c>
    </x:row>
    <x:row r="22" ht="21.600000381469727" hidden="0" customHeight="1">
      <x:c r="A22" s="81" t="str">
        <x:v>docs/01_Architecture/ARCH-001_Overall_System_Architecture/ARCH-001_World_Engine_Overall_System_Architecture_RU_v1_4_Architecture_Audited_Complete.docx</x:v>
      </x:c>
      <x:c r="B22" s="81" t="str">
        <x:v>paragraph, table</x:v>
      </x:c>
      <x:c r="C22" s="83" t="n">
        <x:v>48</x:v>
      </x:c>
      <x:c r="D22" s="83" t="n">
        <x:v>41</x:v>
      </x:c>
      <x:c r="E22" s="83" t="n">
        <x:v>0</x:v>
      </x:c>
      <x:c r="F22" s="83" t="n">
        <x:v>0</x:v>
      </x:c>
      <x:c r="G22" s="83" t="n">
        <x:v>7</x:v>
      </x:c>
      <x:c r="H22" s="83" t="n">
        <x:v>0</x:v>
      </x:c>
      <x:c r="I22" s="81" t="str">
        <x:v>Covered</x:v>
      </x:c>
    </x:row>
    <x:row r="23" ht="21.600000381469727" hidden="0" customHeight="1">
      <x:c r="A23" s="80" t="str">
        <x:v>docs/01_Architecture/ARCH-002_Module_Architecture/ARCH-002_World_Engine_Module_Architecture_DE_v1_4_Architecture_Audited_Complete.docx</x:v>
      </x:c>
      <x:c r="B23" s="80" t="str">
        <x:v>paragraph, table</x:v>
      </x:c>
      <x:c r="C23" s="82" t="n">
        <x:v>45</x:v>
      </x:c>
      <x:c r="D23" s="82" t="n">
        <x:v>38</x:v>
      </x:c>
      <x:c r="E23" s="82" t="n">
        <x:v>0</x:v>
      </x:c>
      <x:c r="F23" s="82" t="n">
        <x:v>0</x:v>
      </x:c>
      <x:c r="G23" s="82" t="n">
        <x:v>7</x:v>
      </x:c>
      <x:c r="H23" s="82" t="n">
        <x:v>0</x:v>
      </x:c>
      <x:c r="I23" s="80" t="str">
        <x:v>Covered</x:v>
      </x:c>
    </x:row>
    <x:row r="24" ht="21.600000381469727" hidden="0" customHeight="1">
      <x:c r="A24" s="81" t="str">
        <x:v>docs/01_Architecture/ARCH-002_Module_Architecture/ARCH-002_World_Engine_Module_Architecture_RU_v1_4_Architecture_Audited_Complete.docx</x:v>
      </x:c>
      <x:c r="B24" s="81" t="str">
        <x:v>paragraph, table</x:v>
      </x:c>
      <x:c r="C24" s="83" t="n">
        <x:v>45</x:v>
      </x:c>
      <x:c r="D24" s="83" t="n">
        <x:v>38</x:v>
      </x:c>
      <x:c r="E24" s="83" t="n">
        <x:v>0</x:v>
      </x:c>
      <x:c r="F24" s="83" t="n">
        <x:v>0</x:v>
      </x:c>
      <x:c r="G24" s="83" t="n">
        <x:v>7</x:v>
      </x:c>
      <x:c r="H24" s="83" t="n">
        <x:v>0</x:v>
      </x:c>
      <x:c r="I24" s="81" t="str">
        <x:v>Covered</x:v>
      </x:c>
    </x:row>
    <x:row r="25" ht="21.600000381469727" hidden="0" customHeight="1">
      <x:c r="A25" s="80" t="str">
        <x:v>docs/01_Architecture/ARCH-003_Data_Flow/ARCH-003_World_Engine_Data_Flow_DE_v1_4_Architecture_Audited_Complete.docx</x:v>
      </x:c>
      <x:c r="B25" s="80" t="str">
        <x:v>paragraph, table</x:v>
      </x:c>
      <x:c r="C25" s="82" t="n">
        <x:v>55</x:v>
      </x:c>
      <x:c r="D25" s="82" t="n">
        <x:v>47</x:v>
      </x:c>
      <x:c r="E25" s="82" t="n">
        <x:v>0</x:v>
      </x:c>
      <x:c r="F25" s="82" t="n">
        <x:v>0</x:v>
      </x:c>
      <x:c r="G25" s="82" t="n">
        <x:v>8</x:v>
      </x:c>
      <x:c r="H25" s="82" t="n">
        <x:v>0</x:v>
      </x:c>
      <x:c r="I25" s="80" t="str">
        <x:v>Covered</x:v>
      </x:c>
    </x:row>
    <x:row r="26" ht="21.600000381469727" hidden="0" customHeight="1">
      <x:c r="A26" s="81" t="str">
        <x:v>docs/01_Architecture/ARCH-003_Data_Flow/ARCH-003_World_Engine_Data_Flow_RU_v1_4_Architecture_Audited_Complete.docx</x:v>
      </x:c>
      <x:c r="B26" s="81" t="str">
        <x:v>paragraph, table</x:v>
      </x:c>
      <x:c r="C26" s="83" t="n">
        <x:v>55</x:v>
      </x:c>
      <x:c r="D26" s="83" t="n">
        <x:v>47</x:v>
      </x:c>
      <x:c r="E26" s="83" t="n">
        <x:v>0</x:v>
      </x:c>
      <x:c r="F26" s="83" t="n">
        <x:v>0</x:v>
      </x:c>
      <x:c r="G26" s="83" t="n">
        <x:v>8</x:v>
      </x:c>
      <x:c r="H26" s="83" t="n">
        <x:v>0</x:v>
      </x:c>
      <x:c r="I26" s="81" t="str">
        <x:v>Covered</x:v>
      </x:c>
    </x:row>
    <x:row r="27" ht="21.600000381469727" hidden="0" customHeight="1">
      <x:c r="A27" s="80" t="str">
        <x:v>docs/01_Architecture/ARCH-004_Architecture_Principles_and_Dependency_Rules/ARCH-004_World_Engine_Architecture_Principles_and_Dependency_Rules_DE_v1_4_Architecture_Audited_Complete.docx</x:v>
      </x:c>
      <x:c r="B27" s="80" t="str">
        <x:v>paragraph, table</x:v>
      </x:c>
      <x:c r="C27" s="82" t="n">
        <x:v>51</x:v>
      </x:c>
      <x:c r="D27" s="82" t="n">
        <x:v>42</x:v>
      </x:c>
      <x:c r="E27" s="82" t="n">
        <x:v>0</x:v>
      </x:c>
      <x:c r="F27" s="82" t="n">
        <x:v>0</x:v>
      </x:c>
      <x:c r="G27" s="82" t="n">
        <x:v>9</x:v>
      </x:c>
      <x:c r="H27" s="82" t="n">
        <x:v>0</x:v>
      </x:c>
      <x:c r="I27" s="80" t="str">
        <x:v>Covered</x:v>
      </x:c>
    </x:row>
    <x:row r="28" ht="21.600000381469727" hidden="0" customHeight="1">
      <x:c r="A28" s="81" t="str">
        <x:v>docs/01_Architecture/ARCH-004_Architecture_Principles_and_Dependency_Rules/ARCH-004_World_Engine_Architecture_Principles_and_Dependency_Rules_RU_v1_4_Architecture_Audited_Complete.docx</x:v>
      </x:c>
      <x:c r="B28" s="81" t="str">
        <x:v>paragraph, table</x:v>
      </x:c>
      <x:c r="C28" s="83" t="n">
        <x:v>51</x:v>
      </x:c>
      <x:c r="D28" s="83" t="n">
        <x:v>42</x:v>
      </x:c>
      <x:c r="E28" s="83" t="n">
        <x:v>0</x:v>
      </x:c>
      <x:c r="F28" s="83" t="n">
        <x:v>0</x:v>
      </x:c>
      <x:c r="G28" s="83" t="n">
        <x:v>9</x:v>
      </x:c>
      <x:c r="H28" s="83" t="n">
        <x:v>0</x:v>
      </x:c>
      <x:c r="I28" s="81" t="str">
        <x:v>Covered</x:v>
      </x:c>
    </x:row>
    <x:row r="29" ht="21.600000381469727" hidden="0" customHeight="1">
      <x:c r="A29" s="80" t="str">
        <x:v>docs/01_Architecture/ARCH-005_Module_Dependencies/ARCH-005_World_Engine_Module_Dependencies_DE_v1_4_Architecture_Audited_Complete.docx</x:v>
      </x:c>
      <x:c r="B29" s="80" t="str">
        <x:v>paragraph, table</x:v>
      </x:c>
      <x:c r="C29" s="82" t="n">
        <x:v>47</x:v>
      </x:c>
      <x:c r="D29" s="82" t="n">
        <x:v>37</x:v>
      </x:c>
      <x:c r="E29" s="82" t="n">
        <x:v>0</x:v>
      </x:c>
      <x:c r="F29" s="82" t="n">
        <x:v>0</x:v>
      </x:c>
      <x:c r="G29" s="82" t="n">
        <x:v>10</x:v>
      </x:c>
      <x:c r="H29" s="82" t="n">
        <x:v>0</x:v>
      </x:c>
      <x:c r="I29" s="80" t="str">
        <x:v>Covered</x:v>
      </x:c>
    </x:row>
    <x:row r="30" ht="21.600000381469727" hidden="0" customHeight="1">
      <x:c r="A30" s="81" t="str">
        <x:v>docs/01_Architecture/ARCH-005_Module_Dependencies/ARCH-005_World_Engine_Module_Dependencies_RU_v1_4_Architecture_Audited_Complete.docx</x:v>
      </x:c>
      <x:c r="B30" s="81" t="str">
        <x:v>paragraph, table</x:v>
      </x:c>
      <x:c r="C30" s="83" t="n">
        <x:v>47</x:v>
      </x:c>
      <x:c r="D30" s="83" t="n">
        <x:v>37</x:v>
      </x:c>
      <x:c r="E30" s="83" t="n">
        <x:v>0</x:v>
      </x:c>
      <x:c r="F30" s="83" t="n">
        <x:v>0</x:v>
      </x:c>
      <x:c r="G30" s="83" t="n">
        <x:v>10</x:v>
      </x:c>
      <x:c r="H30" s="83" t="n">
        <x:v>0</x:v>
      </x:c>
      <x:c r="I30" s="81" t="str">
        <x:v>Covered</x:v>
      </x:c>
    </x:row>
    <x:row r="31" ht="15" hidden="0" customHeight="1">
      <x:c r="A31" s="80" t="str">
        <x:v>docs/01_Architecture/ARCH-006_Component_Diagram/ARCH-006_Component_Diagram_Audited_Source_v1_2.md</x:v>
      </x:c>
      <x:c r="B31" s="80" t="str">
        <x:v>code, markdown</x:v>
      </x:c>
      <x:c r="C31" s="82" t="n">
        <x:v>82</x:v>
      </x:c>
      <x:c r="D31" s="82" t="n">
        <x:v>82</x:v>
      </x:c>
      <x:c r="E31" s="82" t="n">
        <x:v>0</x:v>
      </x:c>
      <x:c r="F31" s="82" t="n">
        <x:v>0</x:v>
      </x:c>
      <x:c r="G31" s="82" t="n">
        <x:v>0</x:v>
      </x:c>
      <x:c r="H31" s="82" t="n">
        <x:v>0</x:v>
      </x:c>
      <x:c r="I31" s="80" t="str">
        <x:v>Covered</x:v>
      </x:c>
    </x:row>
    <x:row r="32" ht="21.600000381469727" hidden="0" customHeight="1">
      <x:c r="A32" s="81" t="str">
        <x:v>docs/01_Architecture/ARCH-006_Component_Diagram/ARCH-006_Component_Diagram_v1_2_Architecture_Audited.svg</x:v>
      </x:c>
      <x:c r="B32" s="81" t="str">
        <x:v>asset</x:v>
      </x:c>
      <x:c r="C32" s="83" t="n">
        <x:v>2</x:v>
      </x:c>
      <x:c r="D32" s="83" t="n">
        <x:v>2</x:v>
      </x:c>
      <x:c r="E32" s="83" t="n">
        <x:v>0</x:v>
      </x:c>
      <x:c r="F32" s="83" t="n">
        <x:v>0</x:v>
      </x:c>
      <x:c r="G32" s="83" t="n">
        <x:v>0</x:v>
      </x:c>
      <x:c r="H32" s="83" t="n">
        <x:v>0</x:v>
      </x:c>
      <x:c r="I32" s="81" t="str">
        <x:v>Covered</x:v>
      </x:c>
    </x:row>
    <x:row r="33" ht="15" hidden="0" customHeight="1">
      <x:c r="A33" s="80" t="str">
        <x:v>docs/01_Architecture/ARCH-007_Sequence_Diagrams/ARCH-007_Sequence_Diagrams_Audited_Source_v4.md</x:v>
      </x:c>
      <x:c r="B33" s="80" t="str">
        <x:v>code, markdown</x:v>
      </x:c>
      <x:c r="C33" s="82" t="n">
        <x:v>196</x:v>
      </x:c>
      <x:c r="D33" s="82" t="n">
        <x:v>172</x:v>
      </x:c>
      <x:c r="E33" s="82" t="n">
        <x:v>24</x:v>
      </x:c>
      <x:c r="F33" s="82" t="n">
        <x:v>0</x:v>
      </x:c>
      <x:c r="G33" s="82" t="n">
        <x:v>0</x:v>
      </x:c>
      <x:c r="H33" s="82" t="n">
        <x:v>0</x:v>
      </x:c>
      <x:c r="I33" s="80" t="str">
        <x:v>Covered</x:v>
      </x:c>
    </x:row>
    <x:row r="34" ht="21.600000381469727" hidden="0" customHeight="1">
      <x:c r="A34" s="81" t="str">
        <x:v>docs/01_Architecture/ARCH-007_Sequence_Diagrams/ARCH-007_Sequence_Diagrams_DE_v4_Architecture_Audited_Complete.docx</x:v>
      </x:c>
      <x:c r="B34" s="81" t="str">
        <x:v>paragraph, table</x:v>
      </x:c>
      <x:c r="C34" s="83" t="n">
        <x:v>60</x:v>
      </x:c>
      <x:c r="D34" s="83" t="n">
        <x:v>51</x:v>
      </x:c>
      <x:c r="E34" s="83" t="n">
        <x:v>0</x:v>
      </x:c>
      <x:c r="F34" s="83" t="n">
        <x:v>0</x:v>
      </x:c>
      <x:c r="G34" s="83" t="n">
        <x:v>9</x:v>
      </x:c>
      <x:c r="H34" s="83" t="n">
        <x:v>0</x:v>
      </x:c>
      <x:c r="I34" s="81" t="str">
        <x:v>Covered</x:v>
      </x:c>
    </x:row>
    <x:row r="35" ht="21.600000381469727" hidden="0" customHeight="1">
      <x:c r="A35" s="80" t="str">
        <x:v>docs/01_Architecture/ARCH-007_Sequence_Diagrams/ARCH-007_Sequence_Diagrams_RU_v4_Architecture_Audited_Complete.docx</x:v>
      </x:c>
      <x:c r="B35" s="80" t="str">
        <x:v>paragraph, table</x:v>
      </x:c>
      <x:c r="C35" s="82" t="n">
        <x:v>60</x:v>
      </x:c>
      <x:c r="D35" s="82" t="n">
        <x:v>51</x:v>
      </x:c>
      <x:c r="E35" s="82" t="n">
        <x:v>0</x:v>
      </x:c>
      <x:c r="F35" s="82" t="n">
        <x:v>0</x:v>
      </x:c>
      <x:c r="G35" s="82" t="n">
        <x:v>9</x:v>
      </x:c>
      <x:c r="H35" s="82" t="n">
        <x:v>0</x:v>
      </x:c>
      <x:c r="I35" s="80" t="str">
        <x:v>Covered</x:v>
      </x:c>
    </x:row>
    <x:row r="36" ht="21.600000381469727" hidden="0" customHeight="1">
      <x:c r="A36" s="81" t="str">
        <x:v>docs/01_Architecture/ARCH-008_Deployment_Architecture/ARCH-008_Deployment_Architecture_Audited_Source_v1_1.md</x:v>
      </x:c>
      <x:c r="B36" s="81" t="str">
        <x:v>code, markdown</x:v>
      </x:c>
      <x:c r="C36" s="83" t="n">
        <x:v>214</x:v>
      </x:c>
      <x:c r="D36" s="83" t="n">
        <x:v>214</x:v>
      </x:c>
      <x:c r="E36" s="83" t="n">
        <x:v>0</x:v>
      </x:c>
      <x:c r="F36" s="83" t="n">
        <x:v>0</x:v>
      </x:c>
      <x:c r="G36" s="83" t="n">
        <x:v>0</x:v>
      </x:c>
      <x:c r="H36" s="83" t="n">
        <x:v>0</x:v>
      </x:c>
      <x:c r="I36" s="81" t="str">
        <x:v>Covered</x:v>
      </x:c>
    </x:row>
    <x:row r="37" ht="21.600000381469727" hidden="0" customHeight="1">
      <x:c r="A37" s="80" t="str">
        <x:v>docs/01_Architecture/ARCH-008_Deployment_Architecture/ARCH-008_Deployment_Architecture_DE_v1_1_Architecture_Audited_Complete.docx</x:v>
      </x:c>
      <x:c r="B37" s="80" t="str">
        <x:v>paragraph, table</x:v>
      </x:c>
      <x:c r="C37" s="82" t="n">
        <x:v>845</x:v>
      </x:c>
      <x:c r="D37" s="82" t="n">
        <x:v>711</x:v>
      </x:c>
      <x:c r="E37" s="82" t="n">
        <x:v>61</x:v>
      </x:c>
      <x:c r="F37" s="82" t="n">
        <x:v>0</x:v>
      </x:c>
      <x:c r="G37" s="82" t="n">
        <x:v>73</x:v>
      </x:c>
      <x:c r="H37" s="82" t="n">
        <x:v>0</x:v>
      </x:c>
      <x:c r="I37" s="80" t="str">
        <x:v>Covered</x:v>
      </x:c>
    </x:row>
    <x:row r="38" ht="21.600000381469727" hidden="0" customHeight="1">
      <x:c r="A38" s="81" t="str">
        <x:v>docs/01_Architecture/ARCH-008_Deployment_Architecture/ARCH-008_Deployment_Architecture_RU_v1_1_Architecture_Audited_Complete.docx</x:v>
      </x:c>
      <x:c r="B38" s="81" t="str">
        <x:v>paragraph, table</x:v>
      </x:c>
      <x:c r="C38" s="83" t="n">
        <x:v>845</x:v>
      </x:c>
      <x:c r="D38" s="83" t="n">
        <x:v>711</x:v>
      </x:c>
      <x:c r="E38" s="83" t="n">
        <x:v>61</x:v>
      </x:c>
      <x:c r="F38" s="83" t="n">
        <x:v>0</x:v>
      </x:c>
      <x:c r="G38" s="83" t="n">
        <x:v>73</x:v>
      </x:c>
      <x:c r="H38" s="83" t="n">
        <x:v>0</x:v>
      </x:c>
      <x:c r="I38" s="81" t="str">
        <x:v>Covered</x:v>
      </x:c>
    </x:row>
    <x:row r="39" ht="21.600000381469727" hidden="0" customHeight="1">
      <x:c r="A39" s="80" t="str">
        <x:v>docs/01_Architecture/ARCH-009_Configuration_Architecture/ARCH-009_Configuration_Architecture_Audited_Source_v1_1.md</x:v>
      </x:c>
      <x:c r="B39" s="80" t="str">
        <x:v>code, markdown</x:v>
      </x:c>
      <x:c r="C39" s="82" t="n">
        <x:v>234</x:v>
      </x:c>
      <x:c r="D39" s="82" t="n">
        <x:v>234</x:v>
      </x:c>
      <x:c r="E39" s="82" t="n">
        <x:v>0</x:v>
      </x:c>
      <x:c r="F39" s="82" t="n">
        <x:v>0</x:v>
      </x:c>
      <x:c r="G39" s="82" t="n">
        <x:v>0</x:v>
      </x:c>
      <x:c r="H39" s="82" t="n">
        <x:v>0</x:v>
      </x:c>
      <x:c r="I39" s="80" t="str">
        <x:v>Covered</x:v>
      </x:c>
    </x:row>
    <x:row r="40" ht="21.600000381469727" hidden="0" customHeight="1">
      <x:c r="A40" s="81" t="str">
        <x:v>docs/01_Architecture/ARCH-009_Configuration_Architecture/ARCH-009_Configuration_Architecture_DE_v1_1_Architecture_Audited_Complete.docx</x:v>
      </x:c>
      <x:c r="B40" s="81" t="str">
        <x:v>paragraph, table</x:v>
      </x:c>
      <x:c r="C40" s="83" t="n">
        <x:v>867</x:v>
      </x:c>
      <x:c r="D40" s="83" t="n">
        <x:v>674</x:v>
      </x:c>
      <x:c r="E40" s="83" t="n">
        <x:v>109</x:v>
      </x:c>
      <x:c r="F40" s="83" t="n">
        <x:v>0</x:v>
      </x:c>
      <x:c r="G40" s="83" t="n">
        <x:v>84</x:v>
      </x:c>
      <x:c r="H40" s="83" t="n">
        <x:v>0</x:v>
      </x:c>
      <x:c r="I40" s="81" t="str">
        <x:v>Covered</x:v>
      </x:c>
    </x:row>
    <x:row r="41" ht="21.600000381469727" hidden="0" customHeight="1">
      <x:c r="A41" s="80" t="str">
        <x:v>docs/01_Architecture/ARCH-009_Configuration_Architecture/ARCH-009_Configuration_Architecture_RU_v1_1_Architecture_Audited_Complete.docx</x:v>
      </x:c>
      <x:c r="B41" s="80" t="str">
        <x:v>paragraph, table</x:v>
      </x:c>
      <x:c r="C41" s="82" t="n">
        <x:v>868</x:v>
      </x:c>
      <x:c r="D41" s="82" t="n">
        <x:v>675</x:v>
      </x:c>
      <x:c r="E41" s="82" t="n">
        <x:v>109</x:v>
      </x:c>
      <x:c r="F41" s="82" t="n">
        <x:v>0</x:v>
      </x:c>
      <x:c r="G41" s="82" t="n">
        <x:v>84</x:v>
      </x:c>
      <x:c r="H41" s="82" t="n">
        <x:v>0</x:v>
      </x:c>
      <x:c r="I41" s="80" t="str">
        <x:v>Covered</x:v>
      </x:c>
    </x:row>
    <x:row r="42" ht="15" hidden="0" customHeight="1">
      <x:c r="A42" s="81" t="str">
        <x:v>docs/01_Architecture/ARCH-010_Plugin_Architecture/ARCH-010_Audit_Rebuild_Map_v1_1.md</x:v>
      </x:c>
      <x:c r="B42" s="81" t="str">
        <x:v>code, markdown, table</x:v>
      </x:c>
      <x:c r="C42" s="83" t="n">
        <x:v>250</x:v>
      </x:c>
      <x:c r="D42" s="83" t="n">
        <x:v>246</x:v>
      </x:c>
      <x:c r="E42" s="83" t="n">
        <x:v>4</x:v>
      </x:c>
      <x:c r="F42" s="83" t="n">
        <x:v>0</x:v>
      </x:c>
      <x:c r="G42" s="83" t="n">
        <x:v>0</x:v>
      </x:c>
      <x:c r="H42" s="83" t="n">
        <x:v>0</x:v>
      </x:c>
      <x:c r="I42" s="81" t="str">
        <x:v>Covered</x:v>
      </x:c>
    </x:row>
    <x:row r="43" ht="21.600000381469727" hidden="0" customHeight="1">
      <x:c r="A43" s="80" t="str">
        <x:v>docs/01_Architecture/ARCH-010_Plugin_Architecture/ARCH-010_Part_02_Discovery_Detection_Reconstruction_Source_v1_1.md</x:v>
      </x:c>
      <x:c r="B43" s="80" t="str">
        <x:v>markdown</x:v>
      </x:c>
      <x:c r="C43" s="82" t="n">
        <x:v>372</x:v>
      </x:c>
      <x:c r="D43" s="82" t="n">
        <x:v>332</x:v>
      </x:c>
      <x:c r="E43" s="82" t="n">
        <x:v>40</x:v>
      </x:c>
      <x:c r="F43" s="82" t="n">
        <x:v>0</x:v>
      </x:c>
      <x:c r="G43" s="82" t="n">
        <x:v>0</x:v>
      </x:c>
      <x:c r="H43" s="82" t="n">
        <x:v>0</x:v>
      </x:c>
      <x:c r="I43" s="80" t="str">
        <x:v>Covered</x:v>
      </x:c>
    </x:row>
    <x:row r="44" ht="21.600000381469727" hidden="0" customHeight="1">
      <x:c r="A44" s="81" t="str">
        <x:v>docs/01_Architecture/ARCH-010_Plugin_Architecture/ARCH-010_Plugin_Architecture_DE_v1_1_Architecture_Audited_Complete.docx</x:v>
      </x:c>
      <x:c r="B44" s="81" t="str">
        <x:v>paragraph, table</x:v>
      </x:c>
      <x:c r="C44" s="83" t="n">
        <x:v>911</x:v>
      </x:c>
      <x:c r="D44" s="83" t="n">
        <x:v>714</x:v>
      </x:c>
      <x:c r="E44" s="83" t="n">
        <x:v>118</x:v>
      </x:c>
      <x:c r="F44" s="83" t="n">
        <x:v>0</x:v>
      </x:c>
      <x:c r="G44" s="83" t="n">
        <x:v>79</x:v>
      </x:c>
      <x:c r="H44" s="83" t="n">
        <x:v>0</x:v>
      </x:c>
      <x:c r="I44" s="81" t="str">
        <x:v>Covered</x:v>
      </x:c>
    </x:row>
    <x:row r="45" ht="21.600000381469727" hidden="0" customHeight="1">
      <x:c r="A45" s="80" t="str">
        <x:v>docs/01_Architecture/ARCH-010_Plugin_Architecture/ARCH-010_Plugin_Architecture_RU_v1_1_Architecture_Audited_Complete.docx</x:v>
      </x:c>
      <x:c r="B45" s="80" t="str">
        <x:v>paragraph, table</x:v>
      </x:c>
      <x:c r="C45" s="82" t="n">
        <x:v>911</x:v>
      </x:c>
      <x:c r="D45" s="82" t="n">
        <x:v>715</x:v>
      </x:c>
      <x:c r="E45" s="82" t="n">
        <x:v>117</x:v>
      </x:c>
      <x:c r="F45" s="82" t="n">
        <x:v>0</x:v>
      </x:c>
      <x:c r="G45" s="82" t="n">
        <x:v>79</x:v>
      </x:c>
      <x:c r="H45" s="82" t="n">
        <x:v>0</x:v>
      </x:c>
      <x:c r="I45" s="80" t="str">
        <x:v>Covered</x:v>
      </x:c>
    </x:row>
    <x:row r="46" ht="21.600000381469727" hidden="0" customHeight="1">
      <x:c r="A46" s="81" t="str">
        <x:v>docs/01_Architecture/ARCH-011_Save_System_Architecture/ARCH-011_Save_System_Architecture_Audited_Source_v1_1.md</x:v>
      </x:c>
      <x:c r="B46" s="81" t="str">
        <x:v>code, markdown</x:v>
      </x:c>
      <x:c r="C46" s="83" t="n">
        <x:v>346</x:v>
      </x:c>
      <x:c r="D46" s="83" t="n">
        <x:v>336</x:v>
      </x:c>
      <x:c r="E46" s="83" t="n">
        <x:v>10</x:v>
      </x:c>
      <x:c r="F46" s="83" t="n">
        <x:v>0</x:v>
      </x:c>
      <x:c r="G46" s="83" t="n">
        <x:v>0</x:v>
      </x:c>
      <x:c r="H46" s="83" t="n">
        <x:v>0</x:v>
      </x:c>
      <x:c r="I46" s="81" t="str">
        <x:v>Covered</x:v>
      </x:c>
    </x:row>
    <x:row r="47" ht="21.600000381469727" hidden="0" customHeight="1">
      <x:c r="A47" s="80" t="str">
        <x:v>docs/01_Architecture/ARCH-011_Save_System_Architecture/ARCH-011_Save_System_Architecture_DE_v1_1_Architecture_Audited_Complete.docx</x:v>
      </x:c>
      <x:c r="B47" s="80" t="str">
        <x:v>paragraph, table</x:v>
      </x:c>
      <x:c r="C47" s="82" t="n">
        <x:v>75</x:v>
      </x:c>
      <x:c r="D47" s="82" t="n">
        <x:v>65</x:v>
      </x:c>
      <x:c r="E47" s="82" t="n">
        <x:v>0</x:v>
      </x:c>
      <x:c r="F47" s="82" t="n">
        <x:v>0</x:v>
      </x:c>
      <x:c r="G47" s="82" t="n">
        <x:v>10</x:v>
      </x:c>
      <x:c r="H47" s="82" t="n">
        <x:v>0</x:v>
      </x:c>
      <x:c r="I47" s="80" t="str">
        <x:v>Covered</x:v>
      </x:c>
    </x:row>
    <x:row r="48" ht="21.600000381469727" hidden="0" customHeight="1">
      <x:c r="A48" s="81" t="str">
        <x:v>docs/01_Architecture/ARCH-011_Save_System_Architecture/ARCH-011_Save_System_Architecture_RU_v1_1_Architecture_Audited_Complete.docx</x:v>
      </x:c>
      <x:c r="B48" s="81" t="str">
        <x:v>paragraph, table</x:v>
      </x:c>
      <x:c r="C48" s="83" t="n">
        <x:v>75</x:v>
      </x:c>
      <x:c r="D48" s="83" t="n">
        <x:v>65</x:v>
      </x:c>
      <x:c r="E48" s="83" t="n">
        <x:v>0</x:v>
      </x:c>
      <x:c r="F48" s="83" t="n">
        <x:v>0</x:v>
      </x:c>
      <x:c r="G48" s="83" t="n">
        <x:v>10</x:v>
      </x:c>
      <x:c r="H48" s="83" t="n">
        <x:v>0</x:v>
      </x:c>
      <x:c r="I48" s="81" t="str">
        <x:v>Covered</x:v>
      </x:c>
    </x:row>
    <x:row r="49" ht="21.600000381469727" hidden="0" customHeight="1">
      <x:c r="A49" s="80" t="str">
        <x:v>docs/01_Architecture/ARCH-012_AI_Integration_Architecture/ARCH-012_AI_Integration_Architecture_Audited_Source_v1_1.md</x:v>
      </x:c>
      <x:c r="B49" s="80" t="str">
        <x:v>code, markdown</x:v>
      </x:c>
      <x:c r="C49" s="82" t="n">
        <x:v>420</x:v>
      </x:c>
      <x:c r="D49" s="82" t="n">
        <x:v>393</x:v>
      </x:c>
      <x:c r="E49" s="82" t="n">
        <x:v>27</x:v>
      </x:c>
      <x:c r="F49" s="82" t="n">
        <x:v>0</x:v>
      </x:c>
      <x:c r="G49" s="82" t="n">
        <x:v>0</x:v>
      </x:c>
      <x:c r="H49" s="82" t="n">
        <x:v>0</x:v>
      </x:c>
      <x:c r="I49" s="80" t="str">
        <x:v>Covered</x:v>
      </x:c>
    </x:row>
    <x:row r="50" ht="21.600000381469727" hidden="0" customHeight="1">
      <x:c r="A50" s="81" t="str">
        <x:v>docs/01_Architecture/ARCH-012_AI_Integration_Architecture/ARCH-012_AI_Integration_Architecture_DE_v1_1_Architecture_Audited_Complete.docx</x:v>
      </x:c>
      <x:c r="B50" s="81" t="str">
        <x:v>paragraph, table</x:v>
      </x:c>
      <x:c r="C50" s="83" t="n">
        <x:v>87</x:v>
      </x:c>
      <x:c r="D50" s="83" t="n">
        <x:v>77</x:v>
      </x:c>
      <x:c r="E50" s="83" t="n">
        <x:v>0</x:v>
      </x:c>
      <x:c r="F50" s="83" t="n">
        <x:v>0</x:v>
      </x:c>
      <x:c r="G50" s="83" t="n">
        <x:v>10</x:v>
      </x:c>
      <x:c r="H50" s="83" t="n">
        <x:v>0</x:v>
      </x:c>
      <x:c r="I50" s="81" t="str">
        <x:v>Covered</x:v>
      </x:c>
    </x:row>
    <x:row r="51" ht="21.600000381469727" hidden="0" customHeight="1">
      <x:c r="A51" s="80" t="str">
        <x:v>docs/01_Architecture/ARCH-012_AI_Integration_Architecture/ARCH-012_AI_Integration_Architecture_RU_v1_1_Architecture_Audited_Complete.docx</x:v>
      </x:c>
      <x:c r="B51" s="80" t="str">
        <x:v>paragraph, table</x:v>
      </x:c>
      <x:c r="C51" s="82" t="n">
        <x:v>87</x:v>
      </x:c>
      <x:c r="D51" s="82" t="n">
        <x:v>77</x:v>
      </x:c>
      <x:c r="E51" s="82" t="n">
        <x:v>0</x:v>
      </x:c>
      <x:c r="F51" s="82" t="n">
        <x:v>0</x:v>
      </x:c>
      <x:c r="G51" s="82" t="n">
        <x:v>10</x:v>
      </x:c>
      <x:c r="H51" s="82" t="n">
        <x:v>0</x:v>
      </x:c>
      <x:c r="I51" s="80" t="str">
        <x:v>Covered</x:v>
      </x:c>
    </x:row>
    <x:row r="52" ht="15" hidden="0" customHeight="1">
      <x:c r="A52" s="81" t="str">
        <x:v>docs/01_Architecture/AUDIT-001_Architecture_Consistency_Audit.md</x:v>
      </x:c>
      <x:c r="B52" s="81" t="str">
        <x:v>markdown, table</x:v>
      </x:c>
      <x:c r="C52" s="83" t="n">
        <x:v>124</x:v>
      </x:c>
      <x:c r="D52" s="83" t="n">
        <x:v>124</x:v>
      </x:c>
      <x:c r="E52" s="83" t="n">
        <x:v>0</x:v>
      </x:c>
      <x:c r="F52" s="83" t="n">
        <x:v>0</x:v>
      </x:c>
      <x:c r="G52" s="83" t="n">
        <x:v>0</x:v>
      </x:c>
      <x:c r="H52" s="83" t="n">
        <x:v>0</x:v>
      </x:c>
      <x:c r="I52" s="81" t="str">
        <x:v>Covered</x:v>
      </x:c>
    </x:row>
    <x:row r="53" ht="15" hidden="0" customHeight="1">
      <x:c r="A53" s="80" t="str">
        <x:v>docs/01_Architecture/AUDIT-002_Dependency_Semantics_Resolution.md</x:v>
      </x:c>
      <x:c r="B53" s="80" t="str">
        <x:v>markdown, table</x:v>
      </x:c>
      <x:c r="C53" s="82" t="n">
        <x:v>119</x:v>
      </x:c>
      <x:c r="D53" s="82" t="n">
        <x:v>112</x:v>
      </x:c>
      <x:c r="E53" s="82" t="n">
        <x:v>7</x:v>
      </x:c>
      <x:c r="F53" s="82" t="n">
        <x:v>0</x:v>
      </x:c>
      <x:c r="G53" s="82" t="n">
        <x:v>0</x:v>
      </x:c>
      <x:c r="H53" s="82" t="n">
        <x:v>0</x:v>
      </x:c>
      <x:c r="I53" s="80" t="str">
        <x:v>Covered</x:v>
      </x:c>
    </x:row>
    <x:row r="54" ht="15" hidden="0" customHeight="1">
      <x:c r="A54" s="81" t="str">
        <x:v>docs/01_Architecture/AUDIT-003_ARCH-001-003_Deep_Review.md</x:v>
      </x:c>
      <x:c r="B54" s="81" t="str">
        <x:v>markdown, table</x:v>
      </x:c>
      <x:c r="C54" s="83" t="n">
        <x:v>193</x:v>
      </x:c>
      <x:c r="D54" s="83" t="n">
        <x:v>189</x:v>
      </x:c>
      <x:c r="E54" s="83" t="n">
        <x:v>4</x:v>
      </x:c>
      <x:c r="F54" s="83" t="n">
        <x:v>0</x:v>
      </x:c>
      <x:c r="G54" s="83" t="n">
        <x:v>0</x:v>
      </x:c>
      <x:c r="H54" s="83" t="n">
        <x:v>0</x:v>
      </x:c>
      <x:c r="I54" s="81" t="str">
        <x:v>Covered</x:v>
      </x:c>
    </x:row>
    <x:row r="55" ht="15" hidden="0" customHeight="1">
      <x:c r="A55" s="80" t="str">
        <x:v>docs/01_Architecture/AUDIT-004_Correction_Artifacts_Manifest.md</x:v>
      </x:c>
      <x:c r="B55" s="80" t="str">
        <x:v>markdown, table</x:v>
      </x:c>
      <x:c r="C55" s="82" t="n">
        <x:v>42</x:v>
      </x:c>
      <x:c r="D55" s="82" t="n">
        <x:v>38</x:v>
      </x:c>
      <x:c r="E55" s="82" t="n">
        <x:v>4</x:v>
      </x:c>
      <x:c r="F55" s="82" t="n">
        <x:v>0</x:v>
      </x:c>
      <x:c r="G55" s="82" t="n">
        <x:v>0</x:v>
      </x:c>
      <x:c r="H55" s="82" t="n">
        <x:v>0</x:v>
      </x:c>
      <x:c r="I55" s="80" t="str">
        <x:v>Covered</x:v>
      </x:c>
    </x:row>
    <x:row r="56" ht="15" hidden="0" customHeight="1">
      <x:c r="A56" s="81" t="str">
        <x:v>docs/01_Architecture/AUDIT-005_ARCH-006-009_Deep_Review.md</x:v>
      </x:c>
      <x:c r="B56" s="81" t="str">
        <x:v>markdown</x:v>
      </x:c>
      <x:c r="C56" s="83" t="n">
        <x:v>150</x:v>
      </x:c>
      <x:c r="D56" s="83" t="n">
        <x:v>145</x:v>
      </x:c>
      <x:c r="E56" s="83" t="n">
        <x:v>5</x:v>
      </x:c>
      <x:c r="F56" s="83" t="n">
        <x:v>0</x:v>
      </x:c>
      <x:c r="G56" s="83" t="n">
        <x:v>0</x:v>
      </x:c>
      <x:c r="H56" s="83" t="n">
        <x:v>0</x:v>
      </x:c>
      <x:c r="I56" s="81" t="str">
        <x:v>Covered</x:v>
      </x:c>
    </x:row>
    <x:row r="57" ht="15" hidden="0" customHeight="1">
      <x:c r="A57" s="80" t="str">
        <x:v>docs/01_Architecture/AUDIT-006_ARCH-010-012_Deep_Review.md</x:v>
      </x:c>
      <x:c r="B57" s="80" t="str">
        <x:v>markdown</x:v>
      </x:c>
      <x:c r="C57" s="82" t="n">
        <x:v>129</x:v>
      </x:c>
      <x:c r="D57" s="82" t="n">
        <x:v>126</x:v>
      </x:c>
      <x:c r="E57" s="82" t="n">
        <x:v>3</x:v>
      </x:c>
      <x:c r="F57" s="82" t="n">
        <x:v>0</x:v>
      </x:c>
      <x:c r="G57" s="82" t="n">
        <x:v>0</x:v>
      </x:c>
      <x:c r="H57" s="82" t="n">
        <x:v>0</x:v>
      </x:c>
      <x:c r="I57" s="80" t="str">
        <x:v>Covered</x:v>
      </x:c>
    </x:row>
    <x:row r="58" ht="15" hidden="0" customHeight="1">
      <x:c r="A58" s="81" t="str">
        <x:v>docs/01_Architecture/AUDIT-007_ADR-001-007_Deep_Review.md</x:v>
      </x:c>
      <x:c r="B58" s="81" t="str">
        <x:v>markdown, table</x:v>
      </x:c>
      <x:c r="C58" s="83" t="n">
        <x:v>179</x:v>
      </x:c>
      <x:c r="D58" s="83" t="n">
        <x:v>174</x:v>
      </x:c>
      <x:c r="E58" s="83" t="n">
        <x:v>5</x:v>
      </x:c>
      <x:c r="F58" s="83" t="n">
        <x:v>0</x:v>
      </x:c>
      <x:c r="G58" s="83" t="n">
        <x:v>0</x:v>
      </x:c>
      <x:c r="H58" s="83" t="n">
        <x:v>0</x:v>
      </x:c>
      <x:c r="I58" s="81" t="str">
        <x:v>Covered</x:v>
      </x:c>
    </x:row>
    <x:row r="59" ht="15" hidden="0" customHeight="1">
      <x:c r="A59" s="80" t="str">
        <x:v>docs/01_Architecture/AUDIT-008_Resolved_Architecture_Baseline.md</x:v>
      </x:c>
      <x:c r="B59" s="80" t="str">
        <x:v>markdown, table</x:v>
      </x:c>
      <x:c r="C59" s="82" t="n">
        <x:v>195</x:v>
      </x:c>
      <x:c r="D59" s="82" t="n">
        <x:v>185</x:v>
      </x:c>
      <x:c r="E59" s="82" t="n">
        <x:v>10</x:v>
      </x:c>
      <x:c r="F59" s="82" t="n">
        <x:v>0</x:v>
      </x:c>
      <x:c r="G59" s="82" t="n">
        <x:v>0</x:v>
      </x:c>
      <x:c r="H59" s="82" t="n">
        <x:v>0</x:v>
      </x:c>
      <x:c r="I59" s="80" t="str">
        <x:v>Covered</x:v>
      </x:c>
    </x:row>
    <x:row r="60" ht="15" hidden="0" customHeight="1">
      <x:c r="A60" s="81" t="str">
        <x:v>docs/01_Architecture/AUDIT-009_Static_Dependency_Graph_Validation.md</x:v>
      </x:c>
      <x:c r="B60" s="81" t="str">
        <x:v>code, markdown</x:v>
      </x:c>
      <x:c r="C60" s="83" t="n">
        <x:v>69</x:v>
      </x:c>
      <x:c r="D60" s="83" t="n">
        <x:v>63</x:v>
      </x:c>
      <x:c r="E60" s="83" t="n">
        <x:v>6</x:v>
      </x:c>
      <x:c r="F60" s="83" t="n">
        <x:v>0</x:v>
      </x:c>
      <x:c r="G60" s="83" t="n">
        <x:v>0</x:v>
      </x:c>
      <x:c r="H60" s="83" t="n">
        <x:v>0</x:v>
      </x:c>
      <x:c r="I60" s="81" t="str">
        <x:v>Covered</x:v>
      </x:c>
    </x:row>
    <x:row r="61" ht="15" hidden="0" customHeight="1">
      <x:c r="A61" s="80" t="str">
        <x:v>docs/01_Architecture/AUDIT-010_ADR_Correction_Package.md</x:v>
      </x:c>
      <x:c r="B61" s="80" t="str">
        <x:v>markdown, table</x:v>
      </x:c>
      <x:c r="C61" s="82" t="n">
        <x:v>61</x:v>
      </x:c>
      <x:c r="D61" s="82" t="n">
        <x:v>56</x:v>
      </x:c>
      <x:c r="E61" s="82" t="n">
        <x:v>5</x:v>
      </x:c>
      <x:c r="F61" s="82" t="n">
        <x:v>0</x:v>
      </x:c>
      <x:c r="G61" s="82" t="n">
        <x:v>0</x:v>
      </x:c>
      <x:c r="H61" s="82" t="n">
        <x:v>0</x:v>
      </x:c>
      <x:c r="I61" s="80" t="str">
        <x:v>Covered</x:v>
      </x:c>
    </x:row>
    <x:row r="62" ht="15" hidden="0" customHeight="1">
      <x:c r="A62" s="81" t="str">
        <x:v>docs/01_Architecture/AUDIT-010_ARCH-006-009_Correction_Validation.md</x:v>
      </x:c>
      <x:c r="B62" s="81" t="str">
        <x:v>markdown</x:v>
      </x:c>
      <x:c r="C62" s="83" t="n">
        <x:v>94</x:v>
      </x:c>
      <x:c r="D62" s="83" t="n">
        <x:v>89</x:v>
      </x:c>
      <x:c r="E62" s="83" t="n">
        <x:v>5</x:v>
      </x:c>
      <x:c r="F62" s="83" t="n">
        <x:v>0</x:v>
      </x:c>
      <x:c r="G62" s="83" t="n">
        <x:v>0</x:v>
      </x:c>
      <x:c r="H62" s="83" t="n">
        <x:v>0</x:v>
      </x:c>
      <x:c r="I62" s="81" t="str">
        <x:v>Covered</x:v>
      </x:c>
    </x:row>
    <x:row r="63" ht="15" hidden="0" customHeight="1">
      <x:c r="A63" s="80" t="str">
        <x:v>docs/01_Architecture/AUDIT-010_ARCH-007-012_Cross_Document_Validation.md</x:v>
      </x:c>
      <x:c r="B63" s="80" t="str">
        <x:v>markdown, table</x:v>
      </x:c>
      <x:c r="C63" s="82" t="n">
        <x:v>167</x:v>
      </x:c>
      <x:c r="D63" s="82" t="n">
        <x:v>158</x:v>
      </x:c>
      <x:c r="E63" s="82" t="n">
        <x:v>9</x:v>
      </x:c>
      <x:c r="F63" s="82" t="n">
        <x:v>0</x:v>
      </x:c>
      <x:c r="G63" s="82" t="n">
        <x:v>0</x:v>
      </x:c>
      <x:c r="H63" s="82" t="n">
        <x:v>0</x:v>
      </x:c>
      <x:c r="I63" s="80" t="str">
        <x:v>Covered</x:v>
      </x:c>
    </x:row>
    <x:row r="64" ht="15" hidden="0" customHeight="1">
      <x:c r="A64" s="81" t="str">
        <x:v>docs/01_Architecture/AUDIT-010_Contract_Ownership_Freeze_and_Candidate_QA.md</x:v>
      </x:c>
      <x:c r="B64" s="81" t="str">
        <x:v>markdown, table</x:v>
      </x:c>
      <x:c r="C64" s="83" t="n">
        <x:v>73</x:v>
      </x:c>
      <x:c r="D64" s="83" t="n">
        <x:v>65</x:v>
      </x:c>
      <x:c r="E64" s="83" t="n">
        <x:v>8</x:v>
      </x:c>
      <x:c r="F64" s="83" t="n">
        <x:v>0</x:v>
      </x:c>
      <x:c r="G64" s="83" t="n">
        <x:v>0</x:v>
      </x:c>
      <x:c r="H64" s="83" t="n">
        <x:v>0</x:v>
      </x:c>
      <x:c r="I64" s="81" t="str">
        <x:v>Covered</x:v>
      </x:c>
    </x:row>
    <x:row r="65" ht="15" hidden="0" customHeight="1">
      <x:c r="A65" s="80" t="str">
        <x:v>docs/01_Architecture/AUDIT-011_ARCH-001-005_Regeneration_and_QA.md</x:v>
      </x:c>
      <x:c r="B65" s="80" t="str">
        <x:v>markdown, table</x:v>
      </x:c>
      <x:c r="C65" s="82" t="n">
        <x:v>53</x:v>
      </x:c>
      <x:c r="D65" s="82" t="n">
        <x:v>48</x:v>
      </x:c>
      <x:c r="E65" s="82" t="n">
        <x:v>5</x:v>
      </x:c>
      <x:c r="F65" s="82" t="n">
        <x:v>0</x:v>
      </x:c>
      <x:c r="G65" s="82" t="n">
        <x:v>0</x:v>
      </x:c>
      <x:c r="H65" s="82" t="n">
        <x:v>0</x:v>
      </x:c>
      <x:c r="I65" s="80" t="str">
        <x:v>Covered</x:v>
      </x:c>
    </x:row>
    <x:row r="66" ht="15" hidden="0" customHeight="1">
      <x:c r="A66" s="81" t="str">
        <x:v>docs/01_Architecture/AUDIT-011_ARCH-004-005_Regeneration.md</x:v>
      </x:c>
      <x:c r="B66" s="81" t="str">
        <x:v>markdown</x:v>
      </x:c>
      <x:c r="C66" s="83" t="n">
        <x:v>73</x:v>
      </x:c>
      <x:c r="D66" s="83" t="n">
        <x:v>65</x:v>
      </x:c>
      <x:c r="E66" s="83" t="n">
        <x:v>8</x:v>
      </x:c>
      <x:c r="F66" s="83" t="n">
        <x:v>0</x:v>
      </x:c>
      <x:c r="G66" s="83" t="n">
        <x:v>0</x:v>
      </x:c>
      <x:c r="H66" s="83" t="n">
        <x:v>0</x:v>
      </x:c>
      <x:c r="I66" s="81" t="str">
        <x:v>Covered</x:v>
      </x:c>
    </x:row>
    <x:row r="67" ht="15" hidden="0" customHeight="1">
      <x:c r="A67" s="80" t="str">
        <x:v>docs/01_Architecture/AUDIT-011_ARCH-010_Source_Integrity_Correction.md</x:v>
      </x:c>
      <x:c r="B67" s="80" t="str">
        <x:v>markdown</x:v>
      </x:c>
      <x:c r="C67" s="82" t="n">
        <x:v>64</x:v>
      </x:c>
      <x:c r="D67" s="82" t="n">
        <x:v>60</x:v>
      </x:c>
      <x:c r="E67" s="82" t="n">
        <x:v>4</x:v>
      </x:c>
      <x:c r="F67" s="82" t="n">
        <x:v>0</x:v>
      </x:c>
      <x:c r="G67" s="82" t="n">
        <x:v>0</x:v>
      </x:c>
      <x:c r="H67" s="82" t="n">
        <x:v>0</x:v>
      </x:c>
      <x:c r="I67" s="80" t="str">
        <x:v>Covered</x:v>
      </x:c>
    </x:row>
    <x:row r="68" ht="15" hidden="0" customHeight="1">
      <x:c r="A68" s="81" t="str">
        <x:v>docs/01_Architecture/AUDIT-011_Current_Status_and_Finalization_Gates.md</x:v>
      </x:c>
      <x:c r="B68" s="81" t="str">
        <x:v>markdown, table</x:v>
      </x:c>
      <x:c r="C68" s="83" t="n">
        <x:v>87</x:v>
      </x:c>
      <x:c r="D68" s="83" t="n">
        <x:v>80</x:v>
      </x:c>
      <x:c r="E68" s="83" t="n">
        <x:v>7</x:v>
      </x:c>
      <x:c r="F68" s="83" t="n">
        <x:v>0</x:v>
      </x:c>
      <x:c r="G68" s="83" t="n">
        <x:v>0</x:v>
      </x:c>
      <x:c r="H68" s="83" t="n">
        <x:v>0</x:v>
      </x:c>
      <x:c r="I68" s="81" t="str">
        <x:v>Covered</x:v>
      </x:c>
    </x:row>
    <x:row r="69" ht="15" hidden="0" customHeight="1">
      <x:c r="A69" s="80" t="str">
        <x:v>docs/01_Architecture/AUDIT-012_ARCH-010_Complete_Rebuild_and_QA.md</x:v>
      </x:c>
      <x:c r="B69" s="80" t="str">
        <x:v>markdown, table</x:v>
      </x:c>
      <x:c r="C69" s="82" t="n">
        <x:v>104</x:v>
      </x:c>
      <x:c r="D69" s="82" t="n">
        <x:v>100</x:v>
      </x:c>
      <x:c r="E69" s="82" t="n">
        <x:v>4</x:v>
      </x:c>
      <x:c r="F69" s="82" t="n">
        <x:v>0</x:v>
      </x:c>
      <x:c r="G69" s="82" t="n">
        <x:v>0</x:v>
      </x:c>
      <x:c r="H69" s="82" t="n">
        <x:v>0</x:v>
      </x:c>
      <x:c r="I69" s="80" t="str">
        <x:v>Covered</x:v>
      </x:c>
    </x:row>
    <x:row r="70" ht="15" hidden="0" customHeight="1">
      <x:c r="A70" s="81" t="str">
        <x:v>docs/01_Architecture/AUDIT-012_ARCH-010_Rebuild_QA.md</x:v>
      </x:c>
      <x:c r="B70" s="81" t="str">
        <x:v>markdown</x:v>
      </x:c>
      <x:c r="C70" s="83" t="n">
        <x:v>84</x:v>
      </x:c>
      <x:c r="D70" s="83" t="n">
        <x:v>80</x:v>
      </x:c>
      <x:c r="E70" s="83" t="n">
        <x:v>4</x:v>
      </x:c>
      <x:c r="F70" s="83" t="n">
        <x:v>0</x:v>
      </x:c>
      <x:c r="G70" s="83" t="n">
        <x:v>0</x:v>
      </x:c>
      <x:c r="H70" s="83" t="n">
        <x:v>0</x:v>
      </x:c>
      <x:c r="I70" s="81" t="str">
        <x:v>Covered</x:v>
      </x:c>
    </x:row>
    <x:row r="71" ht="15" hidden="0" customHeight="1">
      <x:c r="A71" s="80" t="str">
        <x:v>docs/01_Architecture/AUDIT-012_Final_QA_ARCH-006-008-009-012.md</x:v>
      </x:c>
      <x:c r="B71" s="80" t="str">
        <x:v>code, markdown</x:v>
      </x:c>
      <x:c r="C71" s="82" t="n">
        <x:v>103</x:v>
      </x:c>
      <x:c r="D71" s="82" t="n">
        <x:v>89</x:v>
      </x:c>
      <x:c r="E71" s="82" t="n">
        <x:v>14</x:v>
      </x:c>
      <x:c r="F71" s="82" t="n">
        <x:v>0</x:v>
      </x:c>
      <x:c r="G71" s="82" t="n">
        <x:v>0</x:v>
      </x:c>
      <x:c r="H71" s="82" t="n">
        <x:v>0</x:v>
      </x:c>
      <x:c r="I71" s="80" t="str">
        <x:v>Covered</x:v>
      </x:c>
    </x:row>
    <x:row r="72" ht="15" hidden="0" customHeight="1">
      <x:c r="A72" s="81" t="str">
        <x:v>docs/01_Architecture/AUDIT-013_ARCH-001-005_and_ADR_Final_QA.md</x:v>
      </x:c>
      <x:c r="B72" s="81" t="str">
        <x:v>code, markdown, table</x:v>
      </x:c>
      <x:c r="C72" s="83" t="n">
        <x:v>102</x:v>
      </x:c>
      <x:c r="D72" s="83" t="n">
        <x:v>97</x:v>
      </x:c>
      <x:c r="E72" s="83" t="n">
        <x:v>5</x:v>
      </x:c>
      <x:c r="F72" s="83" t="n">
        <x:v>0</x:v>
      </x:c>
      <x:c r="G72" s="83" t="n">
        <x:v>0</x:v>
      </x:c>
      <x:c r="H72" s="83" t="n">
        <x:v>0</x:v>
      </x:c>
      <x:c r="I72" s="81" t="str">
        <x:v>Covered</x:v>
      </x:c>
    </x:row>
    <x:row r="73" ht="15" hidden="0" customHeight="1">
      <x:c r="A73" s="80" t="str">
        <x:v>docs/01_Architecture/AUDIT-013_ARCH-007-011_Save_Restore_Consistency.md</x:v>
      </x:c>
      <x:c r="B73" s="80" t="str">
        <x:v>markdown</x:v>
      </x:c>
      <x:c r="C73" s="82" t="n">
        <x:v>94</x:v>
      </x:c>
      <x:c r="D73" s="82" t="n">
        <x:v>80</x:v>
      </x:c>
      <x:c r="E73" s="82" t="n">
        <x:v>14</x:v>
      </x:c>
      <x:c r="F73" s="82" t="n">
        <x:v>0</x:v>
      </x:c>
      <x:c r="G73" s="82" t="n">
        <x:v>0</x:v>
      </x:c>
      <x:c r="H73" s="82" t="n">
        <x:v>0</x:v>
      </x:c>
      <x:c r="I73" s="80" t="str">
        <x:v>Covered</x:v>
      </x:c>
    </x:row>
    <x:row r="74" ht="15" hidden="0" customHeight="1">
      <x:c r="A74" s="81" t="str">
        <x:v>docs/01_Architecture/AUDIT-014_ARCH-006_008_009_012_Final_QA.md</x:v>
      </x:c>
      <x:c r="B74" s="81" t="str">
        <x:v>code, markdown</x:v>
      </x:c>
      <x:c r="C74" s="83" t="n">
        <x:v>137</x:v>
      </x:c>
      <x:c r="D74" s="83" t="n">
        <x:v>114</x:v>
      </x:c>
      <x:c r="E74" s="83" t="n">
        <x:v>23</x:v>
      </x:c>
      <x:c r="F74" s="83" t="n">
        <x:v>0</x:v>
      </x:c>
      <x:c r="G74" s="83" t="n">
        <x:v>0</x:v>
      </x:c>
      <x:c r="H74" s="83" t="n">
        <x:v>0</x:v>
      </x:c>
      <x:c r="I74" s="81" t="str">
        <x:v>Covered</x:v>
      </x:c>
    </x:row>
    <x:row r="75" ht="15" hidden="0" customHeight="1">
      <x:c r="A75" s="80" t="str">
        <x:v>docs/01_Architecture/AUDIT-014_ARCH-008-009-012_Process_Readiness_Consistency.md</x:v>
      </x:c>
      <x:c r="B75" s="80" t="str">
        <x:v>markdown</x:v>
      </x:c>
      <x:c r="C75" s="82" t="n">
        <x:v>130</x:v>
      </x:c>
      <x:c r="D75" s="82" t="n">
        <x:v>116</x:v>
      </x:c>
      <x:c r="E75" s="82" t="n">
        <x:v>14</x:v>
      </x:c>
      <x:c r="F75" s="82" t="n">
        <x:v>0</x:v>
      </x:c>
      <x:c r="G75" s="82" t="n">
        <x:v>0</x:v>
      </x:c>
      <x:c r="H75" s="82" t="n">
        <x:v>0</x:v>
      </x:c>
      <x:c r="I75" s="80" t="str">
        <x:v>Covered</x:v>
      </x:c>
    </x:row>
    <x:row r="76" ht="15" hidden="0" customHeight="1">
      <x:c r="A76" s="81" t="str">
        <x:v>docs/01_Architecture/AUDIT-015_ARCH-007-011_Final_Artifact_QA.md</x:v>
      </x:c>
      <x:c r="B76" s="81" t="str">
        <x:v>markdown, table</x:v>
      </x:c>
      <x:c r="C76" s="83" t="n">
        <x:v>66</x:v>
      </x:c>
      <x:c r="D76" s="83" t="n">
        <x:v>59</x:v>
      </x:c>
      <x:c r="E76" s="83" t="n">
        <x:v>7</x:v>
      </x:c>
      <x:c r="F76" s="83" t="n">
        <x:v>0</x:v>
      </x:c>
      <x:c r="G76" s="83" t="n">
        <x:v>0</x:v>
      </x:c>
      <x:c r="H76" s="83" t="n">
        <x:v>0</x:v>
      </x:c>
      <x:c r="I76" s="81" t="str">
        <x:v>Covered</x:v>
      </x:c>
    </x:row>
    <x:row r="77" ht="15" hidden="0" customHeight="1">
      <x:c r="A77" s="80" t="str">
        <x:v>docs/01_Architecture/AUDIT-015_ARCH-011-012_Binary_Candidate_QA.md</x:v>
      </x:c>
      <x:c r="B77" s="80" t="str">
        <x:v>markdown, table</x:v>
      </x:c>
      <x:c r="C77" s="82" t="n">
        <x:v>64</x:v>
      </x:c>
      <x:c r="D77" s="82" t="n">
        <x:v>54</x:v>
      </x:c>
      <x:c r="E77" s="82" t="n">
        <x:v>10</x:v>
      </x:c>
      <x:c r="F77" s="82" t="n">
        <x:v>0</x:v>
      </x:c>
      <x:c r="G77" s="82" t="n">
        <x:v>0</x:v>
      </x:c>
      <x:c r="H77" s="82" t="n">
        <x:v>0</x:v>
      </x:c>
      <x:c r="I77" s="80" t="str">
        <x:v>Covered</x:v>
      </x:c>
    </x:row>
    <x:row r="78" ht="15" hidden="0" customHeight="1">
      <x:c r="A78" s="81" t="str">
        <x:v>docs/01_Architecture/AUDIT-016_ADR_Correction_Package_Final_Visual_QA.md</x:v>
      </x:c>
      <x:c r="B78" s="81" t="str">
        <x:v>markdown, table</x:v>
      </x:c>
      <x:c r="C78" s="83" t="n">
        <x:v>43</x:v>
      </x:c>
      <x:c r="D78" s="83" t="n">
        <x:v>37</x:v>
      </x:c>
      <x:c r="E78" s="83" t="n">
        <x:v>6</x:v>
      </x:c>
      <x:c r="F78" s="83" t="n">
        <x:v>0</x:v>
      </x:c>
      <x:c r="G78" s="83" t="n">
        <x:v>0</x:v>
      </x:c>
      <x:c r="H78" s="83" t="n">
        <x:v>0</x:v>
      </x:c>
      <x:c r="I78" s="81" t="str">
        <x:v>Covered</x:v>
      </x:c>
    </x:row>
    <x:row r="79" ht="15" hidden="0" customHeight="1">
      <x:c r="A79" s="80" t="str">
        <x:v>docs/01_Architecture/AUDIT-019_Repository_Publication_and_Supersession_Plan.md</x:v>
      </x:c>
      <x:c r="B79" s="80" t="str">
        <x:v>markdown</x:v>
      </x:c>
      <x:c r="C79" s="82" t="n">
        <x:v>196</x:v>
      </x:c>
      <x:c r="D79" s="82" t="n">
        <x:v>185</x:v>
      </x:c>
      <x:c r="E79" s="82" t="n">
        <x:v>11</x:v>
      </x:c>
      <x:c r="F79" s="82" t="n">
        <x:v>0</x:v>
      </x:c>
      <x:c r="G79" s="82" t="n">
        <x:v>0</x:v>
      </x:c>
      <x:c r="H79" s="82" t="n">
        <x:v>0</x:v>
      </x:c>
      <x:c r="I79" s="80" t="str">
        <x:v>Covered</x:v>
      </x:c>
    </x:row>
    <x:row r="80" ht="15" hidden="0" customHeight="1">
      <x:c r="A80" s="81" t="str">
        <x:v>docs/01_Architecture/AUDIT-020_Prepublication_Repository_Integrity_Checkpoint.md</x:v>
      </x:c>
      <x:c r="B80" s="81" t="str">
        <x:v>markdown, table</x:v>
      </x:c>
      <x:c r="C80" s="83" t="n">
        <x:v>134</x:v>
      </x:c>
      <x:c r="D80" s="83" t="n">
        <x:v>129</x:v>
      </x:c>
      <x:c r="E80" s="83" t="n">
        <x:v>5</x:v>
      </x:c>
      <x:c r="F80" s="83" t="n">
        <x:v>0</x:v>
      </x:c>
      <x:c r="G80" s="83" t="n">
        <x:v>0</x:v>
      </x:c>
      <x:c r="H80" s="83" t="n">
        <x:v>0</x:v>
      </x:c>
      <x:c r="I80" s="81" t="str">
        <x:v>Covered</x:v>
      </x:c>
    </x:row>
    <x:row r="81" ht="15" hidden="0" customHeight="1">
      <x:c r="A81" s="80" t="str">
        <x:v>docs/01_Architecture/AUDIT-022_ARCH-001-005_v1_4_Final_Publication_QA.md</x:v>
      </x:c>
      <x:c r="B81" s="80" t="str">
        <x:v>markdown, table</x:v>
      </x:c>
      <x:c r="C81" s="82" t="n">
        <x:v>60</x:v>
      </x:c>
      <x:c r="D81" s="82" t="n">
        <x:v>55</x:v>
      </x:c>
      <x:c r="E81" s="82" t="n">
        <x:v>5</x:v>
      </x:c>
      <x:c r="F81" s="82" t="n">
        <x:v>0</x:v>
      </x:c>
      <x:c r="G81" s="82" t="n">
        <x:v>0</x:v>
      </x:c>
      <x:c r="H81" s="82" t="n">
        <x:v>0</x:v>
      </x:c>
      <x:c r="I81" s="80" t="str">
        <x:v>Covered</x:v>
      </x:c>
    </x:row>
    <x:row r="82" ht="15" hidden="0" customHeight="1">
      <x:c r="A82" s="81" t="str">
        <x:v>docs/01_Architecture/AUDIT-023_ARCH-007-011-012_Final_Publication_QA.md</x:v>
      </x:c>
      <x:c r="B82" s="81" t="str">
        <x:v>markdown, table</x:v>
      </x:c>
      <x:c r="C82" s="83" t="n">
        <x:v>58</x:v>
      </x:c>
      <x:c r="D82" s="83" t="n">
        <x:v>42</x:v>
      </x:c>
      <x:c r="E82" s="83" t="n">
        <x:v>16</x:v>
      </x:c>
      <x:c r="F82" s="83" t="n">
        <x:v>0</x:v>
      </x:c>
      <x:c r="G82" s="83" t="n">
        <x:v>0</x:v>
      </x:c>
      <x:c r="H82" s="83" t="n">
        <x:v>0</x:v>
      </x:c>
      <x:c r="I82" s="81" t="str">
        <x:v>Covered</x:v>
      </x:c>
    </x:row>
    <x:row r="83" ht="15" hidden="0" customHeight="1">
      <x:c r="A83" s="80" t="str">
        <x:v>docs/01_Architecture/AUDIT-024_ARCH-008-009_Final_Publication_QA.md</x:v>
      </x:c>
      <x:c r="B83" s="80" t="str">
        <x:v>markdown, table</x:v>
      </x:c>
      <x:c r="C83" s="82" t="n">
        <x:v>54</x:v>
      </x:c>
      <x:c r="D83" s="82" t="n">
        <x:v>39</x:v>
      </x:c>
      <x:c r="E83" s="82" t="n">
        <x:v>15</x:v>
      </x:c>
      <x:c r="F83" s="82" t="n">
        <x:v>0</x:v>
      </x:c>
      <x:c r="G83" s="82" t="n">
        <x:v>0</x:v>
      </x:c>
      <x:c r="H83" s="82" t="n">
        <x:v>0</x:v>
      </x:c>
      <x:c r="I83" s="80" t="str">
        <x:v>Covered</x:v>
      </x:c>
    </x:row>
    <x:row r="84" ht="15" hidden="0" customHeight="1">
      <x:c r="A84" s="81" t="str">
        <x:v>docs/01_Architecture/AUDIT-025_ARCH-010_v1_1_Final_Publication_QA.md</x:v>
      </x:c>
      <x:c r="B84" s="81" t="str">
        <x:v>markdown, table</x:v>
      </x:c>
      <x:c r="C84" s="83" t="n">
        <x:v>51</x:v>
      </x:c>
      <x:c r="D84" s="83" t="n">
        <x:v>39</x:v>
      </x:c>
      <x:c r="E84" s="83" t="n">
        <x:v>12</x:v>
      </x:c>
      <x:c r="F84" s="83" t="n">
        <x:v>0</x:v>
      </x:c>
      <x:c r="G84" s="83" t="n">
        <x:v>0</x:v>
      </x:c>
      <x:c r="H84" s="83" t="n">
        <x:v>0</x:v>
      </x:c>
      <x:c r="I84" s="81" t="str">
        <x:v>Covered</x:v>
      </x:c>
    </x:row>
    <x:row r="85" ht="15" hidden="0" customHeight="1">
      <x:c r="A85" s="80" t="str">
        <x:v>docs/01_Architecture/AUDIT-026_ADR_Package_Rebuild_and_Final_Publication_QA.md</x:v>
      </x:c>
      <x:c r="B85" s="80" t="str">
        <x:v>markdown, table</x:v>
      </x:c>
      <x:c r="C85" s="82" t="n">
        <x:v>57</x:v>
      </x:c>
      <x:c r="D85" s="82" t="n">
        <x:v>48</x:v>
      </x:c>
      <x:c r="E85" s="82" t="n">
        <x:v>9</x:v>
      </x:c>
      <x:c r="F85" s="82" t="n">
        <x:v>0</x:v>
      </x:c>
      <x:c r="G85" s="82" t="n">
        <x:v>0</x:v>
      </x:c>
      <x:c r="H85" s="82" t="n">
        <x:v>0</x:v>
      </x:c>
      <x:c r="I85" s="80" t="str">
        <x:v>Covered</x:v>
      </x:c>
    </x:row>
    <x:row r="86" ht="15" hidden="0" customHeight="1">
      <x:c r="A86" s="81" t="str">
        <x:v>docs/01_Architecture/AUDIT-027_ADR-005_v1_2_Binary_Remediation_QA.md</x:v>
      </x:c>
      <x:c r="B86" s="81" t="str">
        <x:v>markdown, table</x:v>
      </x:c>
      <x:c r="C86" s="83" t="n">
        <x:v>41</x:v>
      </x:c>
      <x:c r="D86" s="83" t="n">
        <x:v>37</x:v>
      </x:c>
      <x:c r="E86" s="83" t="n">
        <x:v>4</x:v>
      </x:c>
      <x:c r="F86" s="83" t="n">
        <x:v>0</x:v>
      </x:c>
      <x:c r="G86" s="83" t="n">
        <x:v>0</x:v>
      </x:c>
      <x:c r="H86" s="83" t="n">
        <x:v>0</x:v>
      </x:c>
      <x:c r="I86" s="81" t="str">
        <x:v>Covered</x:v>
      </x:c>
    </x:row>
    <x:row r="87" ht="15" hidden="0" customHeight="1">
      <x:c r="A87" s="80" t="str">
        <x:v>docs/01_Architecture/AUDIT-028_Final_Repository_Consistency_and_Merge_Readiness.md</x:v>
      </x:c>
      <x:c r="B87" s="80" t="str">
        <x:v>markdown, table</x:v>
      </x:c>
      <x:c r="C87" s="82" t="n">
        <x:v>55</x:v>
      </x:c>
      <x:c r="D87" s="82" t="n">
        <x:v>52</x:v>
      </x:c>
      <x:c r="E87" s="82" t="n">
        <x:v>3</x:v>
      </x:c>
      <x:c r="F87" s="82" t="n">
        <x:v>0</x:v>
      </x:c>
      <x:c r="G87" s="82" t="n">
        <x:v>0</x:v>
      </x:c>
      <x:c r="H87" s="82" t="n">
        <x:v>0</x:v>
      </x:c>
      <x:c r="I87" s="80" t="str">
        <x:v>Covered</x:v>
      </x:c>
    </x:row>
    <x:row r="88" ht="15" hidden="0" customHeight="1">
      <x:c r="A88" s="81" t="str">
        <x:v>docs/01_Architecture/AUDIT-029_Document_Consolidation_Visual_Semantic_and_Archive_QA.md</x:v>
      </x:c>
      <x:c r="B88" s="81" t="str">
        <x:v>markdown, table</x:v>
      </x:c>
      <x:c r="C88" s="83" t="n">
        <x:v>37</x:v>
      </x:c>
      <x:c r="D88" s="83" t="n">
        <x:v>36</x:v>
      </x:c>
      <x:c r="E88" s="83" t="n">
        <x:v>1</x:v>
      </x:c>
      <x:c r="F88" s="83" t="n">
        <x:v>0</x:v>
      </x:c>
      <x:c r="G88" s="83" t="n">
        <x:v>0</x:v>
      </x:c>
      <x:c r="H88" s="83" t="n">
        <x:v>0</x:v>
      </x:c>
      <x:c r="I88" s="81" t="str">
        <x:v>Covered</x:v>
      </x:c>
    </x:row>
    <x:row r="89" ht="21.600000381469727" hidden="0" customHeight="1">
      <x:c r="A89" s="80" t="str">
        <x:v>docs/02_Architecture_Decision_Records/ADR-001_Core_Architecture/ADR-001_Core_Architecture_DE_v2_0_Architecture_Audited_Complete.docx</x:v>
      </x:c>
      <x:c r="B89" s="80" t="str">
        <x:v>metadata, paragraph, table</x:v>
      </x:c>
      <x:c r="C89" s="82" t="n">
        <x:v>88</x:v>
      </x:c>
      <x:c r="D89" s="82" t="n">
        <x:v>71</x:v>
      </x:c>
      <x:c r="E89" s="82" t="n">
        <x:v>9</x:v>
      </x:c>
      <x:c r="F89" s="82" t="n">
        <x:v>2</x:v>
      </x:c>
      <x:c r="G89" s="82" t="n">
        <x:v>6</x:v>
      </x:c>
      <x:c r="H89" s="82" t="n">
        <x:v>0</x:v>
      </x:c>
      <x:c r="I89" s="80" t="str">
        <x:v>Covered</x:v>
      </x:c>
    </x:row>
    <x:row r="90" ht="21.600000381469727" hidden="0" customHeight="1">
      <x:c r="A90" s="81" t="str">
        <x:v>docs/02_Architecture_Decision_Records/ADR-001_Core_Architecture/ADR-001_Core_Architecture_RU_v2_0_Architecture_Audited_Complete.docx</x:v>
      </x:c>
      <x:c r="B90" s="81" t="str">
        <x:v>metadata, paragraph, table</x:v>
      </x:c>
      <x:c r="C90" s="83" t="n">
        <x:v>88</x:v>
      </x:c>
      <x:c r="D90" s="83" t="n">
        <x:v>71</x:v>
      </x:c>
      <x:c r="E90" s="83" t="n">
        <x:v>9</x:v>
      </x:c>
      <x:c r="F90" s="83" t="n">
        <x:v>2</x:v>
      </x:c>
      <x:c r="G90" s="83" t="n">
        <x:v>6</x:v>
      </x:c>
      <x:c r="H90" s="83" t="n">
        <x:v>0</x:v>
      </x:c>
      <x:c r="I90" s="81" t="str">
        <x:v>Covered</x:v>
      </x:c>
    </x:row>
    <x:row r="91" ht="21.600000381469727" hidden="0" customHeight="1">
      <x:c r="A91" s="80" t="str">
        <x:v>docs/02_Architecture_Decision_Records/ADR-002_Event_System/ADR-002_Event_System_DE_v2_0_Architecture_Audited_Complete.docx</x:v>
      </x:c>
      <x:c r="B91" s="80" t="str">
        <x:v>metadata, paragraph, table</x:v>
      </x:c>
      <x:c r="C91" s="82" t="n">
        <x:v>88</x:v>
      </x:c>
      <x:c r="D91" s="82" t="n">
        <x:v>71</x:v>
      </x:c>
      <x:c r="E91" s="82" t="n">
        <x:v>9</x:v>
      </x:c>
      <x:c r="F91" s="82" t="n">
        <x:v>2</x:v>
      </x:c>
      <x:c r="G91" s="82" t="n">
        <x:v>6</x:v>
      </x:c>
      <x:c r="H91" s="82" t="n">
        <x:v>0</x:v>
      </x:c>
      <x:c r="I91" s="80" t="str">
        <x:v>Covered</x:v>
      </x:c>
    </x:row>
    <x:row r="92" ht="21.600000381469727" hidden="0" customHeight="1">
      <x:c r="A92" s="81" t="str">
        <x:v>docs/02_Architecture_Decision_Records/ADR-002_Event_System/ADR-002_Event_System_RU_v2_0_Architecture_Audited_Complete.docx</x:v>
      </x:c>
      <x:c r="B92" s="81" t="str">
        <x:v>metadata, paragraph, table</x:v>
      </x:c>
      <x:c r="C92" s="83" t="n">
        <x:v>88</x:v>
      </x:c>
      <x:c r="D92" s="83" t="n">
        <x:v>71</x:v>
      </x:c>
      <x:c r="E92" s="83" t="n">
        <x:v>9</x:v>
      </x:c>
      <x:c r="F92" s="83" t="n">
        <x:v>2</x:v>
      </x:c>
      <x:c r="G92" s="83" t="n">
        <x:v>6</x:v>
      </x:c>
      <x:c r="H92" s="83" t="n">
        <x:v>0</x:v>
      </x:c>
      <x:c r="I92" s="81" t="str">
        <x:v>Covered</x:v>
      </x:c>
    </x:row>
    <x:row r="93" ht="21.600000381469727" hidden="0" customHeight="1">
      <x:c r="A93" s="80" t="str">
        <x:v>docs/02_Architecture_Decision_Records/ADR-003_Database/ADR-003_Database_DE_v2_0_Architecture_Audited_Complete.docx</x:v>
      </x:c>
      <x:c r="B93" s="80" t="str">
        <x:v>metadata, paragraph, table</x:v>
      </x:c>
      <x:c r="C93" s="82" t="n">
        <x:v>90</x:v>
      </x:c>
      <x:c r="D93" s="82" t="n">
        <x:v>73</x:v>
      </x:c>
      <x:c r="E93" s="82" t="n">
        <x:v>9</x:v>
      </x:c>
      <x:c r="F93" s="82" t="n">
        <x:v>2</x:v>
      </x:c>
      <x:c r="G93" s="82" t="n">
        <x:v>6</x:v>
      </x:c>
      <x:c r="H93" s="82" t="n">
        <x:v>0</x:v>
      </x:c>
      <x:c r="I93" s="80" t="str">
        <x:v>Covered</x:v>
      </x:c>
    </x:row>
    <x:row r="94" ht="21.600000381469727" hidden="0" customHeight="1">
      <x:c r="A94" s="81" t="str">
        <x:v>docs/02_Architecture_Decision_Records/ADR-003_Database/ADR-003_Database_RU_v2_0_Architecture_Audited_Complete.docx</x:v>
      </x:c>
      <x:c r="B94" s="81" t="str">
        <x:v>metadata, paragraph, table</x:v>
      </x:c>
      <x:c r="C94" s="83" t="n">
        <x:v>90</x:v>
      </x:c>
      <x:c r="D94" s="83" t="n">
        <x:v>73</x:v>
      </x:c>
      <x:c r="E94" s="83" t="n">
        <x:v>9</x:v>
      </x:c>
      <x:c r="F94" s="83" t="n">
        <x:v>2</x:v>
      </x:c>
      <x:c r="G94" s="83" t="n">
        <x:v>6</x:v>
      </x:c>
      <x:c r="H94" s="83" t="n">
        <x:v>0</x:v>
      </x:c>
      <x:c r="I94" s="81" t="str">
        <x:v>Covered</x:v>
      </x:c>
    </x:row>
    <x:row r="95" ht="21.600000381469727" hidden="0" customHeight="1">
      <x:c r="A95" s="80" t="str">
        <x:v>docs/02_Architecture_Decision_Records/ADR-004_Local_AI/ADR-004_Local_AI_DE_v2_0_Architecture_Audited_Complete.docx</x:v>
      </x:c>
      <x:c r="B95" s="80" t="str">
        <x:v>metadata, paragraph, table</x:v>
      </x:c>
      <x:c r="C95" s="82" t="n">
        <x:v>90</x:v>
      </x:c>
      <x:c r="D95" s="82" t="n">
        <x:v>73</x:v>
      </x:c>
      <x:c r="E95" s="82" t="n">
        <x:v>9</x:v>
      </x:c>
      <x:c r="F95" s="82" t="n">
        <x:v>2</x:v>
      </x:c>
      <x:c r="G95" s="82" t="n">
        <x:v>6</x:v>
      </x:c>
      <x:c r="H95" s="82" t="n">
        <x:v>0</x:v>
      </x:c>
      <x:c r="I95" s="80" t="str">
        <x:v>Covered</x:v>
      </x:c>
    </x:row>
    <x:row r="96" ht="21.600000381469727" hidden="0" customHeight="1">
      <x:c r="A96" s="81" t="str">
        <x:v>docs/02_Architecture_Decision_Records/ADR-004_Local_AI/ADR-004_Local_AI_RU_v2_0_Architecture_Audited_Complete.docx</x:v>
      </x:c>
      <x:c r="B96" s="81" t="str">
        <x:v>metadata, paragraph, table</x:v>
      </x:c>
      <x:c r="C96" s="83" t="n">
        <x:v>90</x:v>
      </x:c>
      <x:c r="D96" s="83" t="n">
        <x:v>73</x:v>
      </x:c>
      <x:c r="E96" s="83" t="n">
        <x:v>9</x:v>
      </x:c>
      <x:c r="F96" s="83" t="n">
        <x:v>2</x:v>
      </x:c>
      <x:c r="G96" s="83" t="n">
        <x:v>6</x:v>
      </x:c>
      <x:c r="H96" s="83" t="n">
        <x:v>0</x:v>
      </x:c>
      <x:c r="I96" s="81" t="str">
        <x:v>Covered</x:v>
      </x:c>
    </x:row>
    <x:row r="97" ht="21.600000381469727" hidden="0" customHeight="1">
      <x:c r="A97" s="80" t="str">
        <x:v>docs/02_Architecture_Decision_Records/ADR-005_Save_System/ADR-005_Save_System_DE_v2_0_Architecture_Audited_Complete.docx</x:v>
      </x:c>
      <x:c r="B97" s="80" t="str">
        <x:v>metadata, paragraph, table</x:v>
      </x:c>
      <x:c r="C97" s="82" t="n">
        <x:v>93</x:v>
      </x:c>
      <x:c r="D97" s="82" t="n">
        <x:v>76</x:v>
      </x:c>
      <x:c r="E97" s="82" t="n">
        <x:v>9</x:v>
      </x:c>
      <x:c r="F97" s="82" t="n">
        <x:v>2</x:v>
      </x:c>
      <x:c r="G97" s="82" t="n">
        <x:v>6</x:v>
      </x:c>
      <x:c r="H97" s="82" t="n">
        <x:v>0</x:v>
      </x:c>
      <x:c r="I97" s="80" t="str">
        <x:v>Covered</x:v>
      </x:c>
    </x:row>
    <x:row r="98" ht="21.600000381469727" hidden="0" customHeight="1">
      <x:c r="A98" s="81" t="str">
        <x:v>docs/02_Architecture_Decision_Records/ADR-005_Save_System/ADR-005_Save_System_RU_v2_0_Architecture_Audited_Complete.docx</x:v>
      </x:c>
      <x:c r="B98" s="81" t="str">
        <x:v>metadata, paragraph, table</x:v>
      </x:c>
      <x:c r="C98" s="83" t="n">
        <x:v>93</x:v>
      </x:c>
      <x:c r="D98" s="83" t="n">
        <x:v>76</x:v>
      </x:c>
      <x:c r="E98" s="83" t="n">
        <x:v>9</x:v>
      </x:c>
      <x:c r="F98" s="83" t="n">
        <x:v>2</x:v>
      </x:c>
      <x:c r="G98" s="83" t="n">
        <x:v>6</x:v>
      </x:c>
      <x:c r="H98" s="83" t="n">
        <x:v>0</x:v>
      </x:c>
      <x:c r="I98" s="81" t="str">
        <x:v>Covered</x:v>
      </x:c>
    </x:row>
    <x:row r="99" ht="21.600000381469727" hidden="0" customHeight="1">
      <x:c r="A99" s="80" t="str">
        <x:v>docs/02_Architecture_Decision_Records/ADR-006_Plugin_Detection/ADR-006_Plugin_Detection_DE_v2_0_Architecture_Audited_Complete.docx</x:v>
      </x:c>
      <x:c r="B99" s="80" t="str">
        <x:v>metadata, paragraph, table</x:v>
      </x:c>
      <x:c r="C99" s="82" t="n">
        <x:v>91</x:v>
      </x:c>
      <x:c r="D99" s="82" t="n">
        <x:v>74</x:v>
      </x:c>
      <x:c r="E99" s="82" t="n">
        <x:v>9</x:v>
      </x:c>
      <x:c r="F99" s="82" t="n">
        <x:v>2</x:v>
      </x:c>
      <x:c r="G99" s="82" t="n">
        <x:v>6</x:v>
      </x:c>
      <x:c r="H99" s="82" t="n">
        <x:v>0</x:v>
      </x:c>
      <x:c r="I99" s="80" t="str">
        <x:v>Covered</x:v>
      </x:c>
    </x:row>
    <x:row r="100" ht="21.600000381469727" hidden="0" customHeight="1">
      <x:c r="A100" s="81" t="str">
        <x:v>docs/02_Architecture_Decision_Records/ADR-006_Plugin_Detection/ADR-006_Plugin_Detection_RU_v2_0_Architecture_Audited_Complete.docx</x:v>
      </x:c>
      <x:c r="B100" s="81" t="str">
        <x:v>metadata, paragraph, table</x:v>
      </x:c>
      <x:c r="C100" s="83" t="n">
        <x:v>91</x:v>
      </x:c>
      <x:c r="D100" s="83" t="n">
        <x:v>74</x:v>
      </x:c>
      <x:c r="E100" s="83" t="n">
        <x:v>9</x:v>
      </x:c>
      <x:c r="F100" s="83" t="n">
        <x:v>2</x:v>
      </x:c>
      <x:c r="G100" s="83" t="n">
        <x:v>6</x:v>
      </x:c>
      <x:c r="H100" s="83" t="n">
        <x:v>0</x:v>
      </x:c>
      <x:c r="I100" s="81" t="str">
        <x:v>Covered</x:v>
      </x:c>
    </x:row>
    <x:row r="101" ht="21.600000381469727" hidden="0" customHeight="1">
      <x:c r="A101" s="80" t="str">
        <x:v>docs/02_Architecture_Decision_Records/ADR-007_Multi_Game_Support/ADR-007_Multi_Game_Support_DE_v2_0_Architecture_Audited_Complete.docx</x:v>
      </x:c>
      <x:c r="B101" s="80" t="str">
        <x:v>metadata, paragraph, table</x:v>
      </x:c>
      <x:c r="C101" s="82" t="n">
        <x:v>90</x:v>
      </x:c>
      <x:c r="D101" s="82" t="n">
        <x:v>73</x:v>
      </x:c>
      <x:c r="E101" s="82" t="n">
        <x:v>9</x:v>
      </x:c>
      <x:c r="F101" s="82" t="n">
        <x:v>2</x:v>
      </x:c>
      <x:c r="G101" s="82" t="n">
        <x:v>6</x:v>
      </x:c>
      <x:c r="H101" s="82" t="n">
        <x:v>0</x:v>
      </x:c>
      <x:c r="I101" s="80" t="str">
        <x:v>Covered</x:v>
      </x:c>
    </x:row>
    <x:row r="102" ht="21.600000381469727" hidden="0" customHeight="1">
      <x:c r="A102" s="81" t="str">
        <x:v>docs/02_Architecture_Decision_Records/ADR-007_Multi_Game_Support/ADR-007_Multi_Game_Support_RU_v2_0_Architecture_Audited_Complete.docx</x:v>
      </x:c>
      <x:c r="B102" s="81" t="str">
        <x:v>metadata, paragraph, table</x:v>
      </x:c>
      <x:c r="C102" s="83" t="n">
        <x:v>90</x:v>
      </x:c>
      <x:c r="D102" s="83" t="n">
        <x:v>73</x:v>
      </x:c>
      <x:c r="E102" s="83" t="n">
        <x:v>9</x:v>
      </x:c>
      <x:c r="F102" s="83" t="n">
        <x:v>2</x:v>
      </x:c>
      <x:c r="G102" s="83" t="n">
        <x:v>6</x:v>
      </x:c>
      <x:c r="H102" s="83" t="n">
        <x:v>0</x:v>
      </x:c>
      <x:c r="I102" s="81" t="str">
        <x:v>Covered</x:v>
      </x:c>
    </x:row>
    <x:row r="103" ht="21.600000381469727" hidden="0" customHeight="1">
      <x:c r="A103" s="80" t="str">
        <x:v>docs/02_Architecture_Decision_Records/ADR-008_Dependency_Semantics_Contract_Ownership/ADR-008_Dependency_Semantics_Contract_Ownership_DE_v1_0_Proposed_Audited.docx</x:v>
      </x:c>
      <x:c r="B103" s="80" t="str">
        <x:v>metadata, paragraph, table</x:v>
      </x:c>
      <x:c r="C103" s="82" t="n">
        <x:v>73</x:v>
      </x:c>
      <x:c r="D103" s="82" t="n">
        <x:v>59</x:v>
      </x:c>
      <x:c r="E103" s="82" t="n">
        <x:v>3</x:v>
      </x:c>
      <x:c r="F103" s="82" t="n">
        <x:v>1</x:v>
      </x:c>
      <x:c r="G103" s="82" t="n">
        <x:v>10</x:v>
      </x:c>
      <x:c r="H103" s="82" t="n">
        <x:v>0</x:v>
      </x:c>
      <x:c r="I103" s="80" t="str">
        <x:v>Covered</x:v>
      </x:c>
    </x:row>
    <x:row r="104" ht="21.600000381469727" hidden="0" customHeight="1">
      <x:c r="A104" s="81" t="str">
        <x:v>docs/02_Architecture_Decision_Records/ADR-008_Dependency_Semantics_Contract_Ownership/ADR-008_Dependency_Semantics_Contract_Ownership_RU_v1_0_Proposed_Audited.docx</x:v>
      </x:c>
      <x:c r="B104" s="81" t="str">
        <x:v>metadata, paragraph, table</x:v>
      </x:c>
      <x:c r="C104" s="83" t="n">
        <x:v>73</x:v>
      </x:c>
      <x:c r="D104" s="83" t="n">
        <x:v>59</x:v>
      </x:c>
      <x:c r="E104" s="83" t="n">
        <x:v>3</x:v>
      </x:c>
      <x:c r="F104" s="83" t="n">
        <x:v>1</x:v>
      </x:c>
      <x:c r="G104" s="83" t="n">
        <x:v>10</x:v>
      </x:c>
      <x:c r="H104" s="83" t="n">
        <x:v>0</x:v>
      </x:c>
      <x:c r="I104" s="81" t="str">
        <x:v>Covered</x:v>
      </x:c>
    </x:row>
    <x:row r="105" ht="15" hidden="0" customHeight="1">
      <x:c r="A105" s="80" t="str">
        <x:v>docs/03_Modules/MOD-001_Core/AUDIT-017_MOD-001_v1_2_Source_Conformance.md</x:v>
      </x:c>
      <x:c r="B105" s="80" t="str">
        <x:v>markdown</x:v>
      </x:c>
      <x:c r="C105" s="82" t="n">
        <x:v>312</x:v>
      </x:c>
      <x:c r="D105" s="82" t="n">
        <x:v>310</x:v>
      </x:c>
      <x:c r="E105" s="82" t="n">
        <x:v>2</x:v>
      </x:c>
      <x:c r="F105" s="82" t="n">
        <x:v>0</x:v>
      </x:c>
      <x:c r="G105" s="82" t="n">
        <x:v>0</x:v>
      </x:c>
      <x:c r="H105" s="82" t="n">
        <x:v>0</x:v>
      </x:c>
      <x:c r="I105" s="80" t="str">
        <x:v>Covered</x:v>
      </x:c>
    </x:row>
    <x:row r="106" ht="15" hidden="0" customHeight="1">
      <x:c r="A106" s="81" t="str">
        <x:v>docs/03_Modules/MOD-001_Core/AUDIT-018_MOD-001_v1_2_Final_Corrections_Freeze.md</x:v>
      </x:c>
      <x:c r="B106" s="81" t="str">
        <x:v>code, markdown, table</x:v>
      </x:c>
      <x:c r="C106" s="83" t="n">
        <x:v>212</x:v>
      </x:c>
      <x:c r="D106" s="83" t="n">
        <x:v>194</x:v>
      </x:c>
      <x:c r="E106" s="83" t="n">
        <x:v>18</x:v>
      </x:c>
      <x:c r="F106" s="83" t="n">
        <x:v>0</x:v>
      </x:c>
      <x:c r="G106" s="83" t="n">
        <x:v>0</x:v>
      </x:c>
      <x:c r="H106" s="83" t="n">
        <x:v>0</x:v>
      </x:c>
      <x:c r="I106" s="81" t="str">
        <x:v>Covered</x:v>
      </x:c>
    </x:row>
    <x:row r="107" ht="15" hidden="0" customHeight="1">
      <x:c r="A107" s="80" t="str">
        <x:v>docs/03_Modules/MOD-001_Core/AUDIT-021_MOD-001_v1_2_Final_Artifact_QA.md</x:v>
      </x:c>
      <x:c r="B107" s="80" t="str">
        <x:v>markdown, table</x:v>
      </x:c>
      <x:c r="C107" s="82" t="n">
        <x:v>128</x:v>
      </x:c>
      <x:c r="D107" s="82" t="n">
        <x:v>122</x:v>
      </x:c>
      <x:c r="E107" s="82" t="n">
        <x:v>6</x:v>
      </x:c>
      <x:c r="F107" s="82" t="n">
        <x:v>0</x:v>
      </x:c>
      <x:c r="G107" s="82" t="n">
        <x:v>0</x:v>
      </x:c>
      <x:c r="H107" s="82" t="n">
        <x:v>0</x:v>
      </x:c>
      <x:c r="I107" s="80" t="str">
        <x:v>Covered</x:v>
      </x:c>
    </x:row>
    <x:row r="108" ht="15" hidden="0" customHeight="1">
      <x:c r="A108" s="81" t="str">
        <x:v>docs/03_Modules/MOD-001_Core/AUDIT-MOD-001-v1_2_Source_Review.md</x:v>
      </x:c>
      <x:c r="B108" s="81" t="str">
        <x:v>code, markdown, table</x:v>
      </x:c>
      <x:c r="C108" s="83" t="n">
        <x:v>222</x:v>
      </x:c>
      <x:c r="D108" s="83" t="n">
        <x:v>196</x:v>
      </x:c>
      <x:c r="E108" s="83" t="n">
        <x:v>26</x:v>
      </x:c>
      <x:c r="F108" s="83" t="n">
        <x:v>0</x:v>
      </x:c>
      <x:c r="G108" s="83" t="n">
        <x:v>0</x:v>
      </x:c>
      <x:c r="H108" s="83" t="n">
        <x:v>0</x:v>
      </x:c>
      <x:c r="I108" s="81" t="str">
        <x:v>Covered</x:v>
      </x:c>
    </x:row>
    <x:row r="109" ht="15" hidden="0" customHeight="1">
      <x:c r="A109" s="80" t="str">
        <x:v>docs/03_Modules/MOD-001_Core/AUDIT-MOD-001_Post_Architecture_Reaudit.md</x:v>
      </x:c>
      <x:c r="B109" s="80" t="str">
        <x:v>markdown, table</x:v>
      </x:c>
      <x:c r="C109" s="82" t="n">
        <x:v>348</x:v>
      </x:c>
      <x:c r="D109" s="82" t="n">
        <x:v>322</x:v>
      </x:c>
      <x:c r="E109" s="82" t="n">
        <x:v>26</x:v>
      </x:c>
      <x:c r="F109" s="82" t="n">
        <x:v>0</x:v>
      </x:c>
      <x:c r="G109" s="82" t="n">
        <x:v>0</x:v>
      </x:c>
      <x:c r="H109" s="82" t="n">
        <x:v>0</x:v>
      </x:c>
      <x:c r="I109" s="80" t="str">
        <x:v>Covered</x:v>
      </x:c>
    </x:row>
    <x:row r="110" ht="15" hidden="0" customHeight="1">
      <x:c r="A110" s="81" t="str">
        <x:v>docs/03_Modules/MOD-001_Core/MOD-001_Core_Architecture_Audited_Source_v1_2.md</x:v>
      </x:c>
      <x:c r="B110" s="81" t="str">
        <x:v>code, markdown, table</x:v>
      </x:c>
      <x:c r="C110" s="83" t="n">
        <x:v>1156</x:v>
      </x:c>
      <x:c r="D110" s="83" t="n">
        <x:v>1070</x:v>
      </x:c>
      <x:c r="E110" s="83" t="n">
        <x:v>86</x:v>
      </x:c>
      <x:c r="F110" s="83" t="n">
        <x:v>0</x:v>
      </x:c>
      <x:c r="G110" s="83" t="n">
        <x:v>0</x:v>
      </x:c>
      <x:c r="H110" s="83" t="n">
        <x:v>0</x:v>
      </x:c>
      <x:c r="I110" s="81" t="str">
        <x:v>Covered</x:v>
      </x:c>
    </x:row>
    <x:row r="111" ht="15" hidden="0" customHeight="1">
      <x:c r="A111" s="80" t="str">
        <x:v>docs/03_Modules/MOD-001_Core/MOD-001_Core_DE_v1_2_Architecture_Audited_Complete.docx</x:v>
      </x:c>
      <x:c r="B111" s="80" t="str">
        <x:v>metadata, paragraph, table</x:v>
      </x:c>
      <x:c r="C111" s="82" t="n">
        <x:v>269</x:v>
      </x:c>
      <x:c r="D111" s="82" t="n">
        <x:v>158</x:v>
      </x:c>
      <x:c r="E111" s="82" t="n">
        <x:v>72</x:v>
      </x:c>
      <x:c r="F111" s="82" t="n">
        <x:v>2</x:v>
      </x:c>
      <x:c r="G111" s="82" t="n">
        <x:v>37</x:v>
      </x:c>
      <x:c r="H111" s="82" t="n">
        <x:v>0</x:v>
      </x:c>
      <x:c r="I111" s="80" t="str">
        <x:v>Covered</x:v>
      </x:c>
    </x:row>
    <x:row r="112" ht="15" hidden="0" customHeight="1">
      <x:c r="A112" s="81" t="str">
        <x:v>docs/03_Modules/MOD-001_Core/MOD-001_Core_RU_v1_2_Architecture_Audited_Complete.docx</x:v>
      </x:c>
      <x:c r="B112" s="81" t="str">
        <x:v>metadata, paragraph, table</x:v>
      </x:c>
      <x:c r="C112" s="83" t="n">
        <x:v>269</x:v>
      </x:c>
      <x:c r="D112" s="83" t="n">
        <x:v>158</x:v>
      </x:c>
      <x:c r="E112" s="83" t="n">
        <x:v>72</x:v>
      </x:c>
      <x:c r="F112" s="83" t="n">
        <x:v>2</x:v>
      </x:c>
      <x:c r="G112" s="83" t="n">
        <x:v>37</x:v>
      </x:c>
      <x:c r="H112" s="83" t="n">
        <x:v>0</x:v>
      </x:c>
      <x:c r="I112" s="81" t="str">
        <x:v>Covered</x:v>
      </x:c>
    </x:row>
    <x:row r="113" ht="15" hidden="0" customHeight="1">
      <x:c r="A113" s="80" t="str">
        <x:v>docs/99_Archive/00_Project_Management/DOC-003_World_Engine_Roadmap_DE_v2_SUPERSEDED.docx</x:v>
      </x:c>
      <x:c r="B113" s="80" t="str">
        <x:v>paragraph, table</x:v>
      </x:c>
      <x:c r="C113" s="82" t="n">
        <x:v>33</x:v>
      </x:c>
      <x:c r="D113" s="82" t="n">
        <x:v>28</x:v>
      </x:c>
      <x:c r="E113" s="82" t="n">
        <x:v>1</x:v>
      </x:c>
      <x:c r="F113" s="82" t="n">
        <x:v>0</x:v>
      </x:c>
      <x:c r="G113" s="82" t="n">
        <x:v>4</x:v>
      </x:c>
      <x:c r="H113" s="82" t="n">
        <x:v>0</x:v>
      </x:c>
      <x:c r="I113" s="80" t="str">
        <x:v>Covered</x:v>
      </x:c>
    </x:row>
    <x:row r="114" ht="15" hidden="0" customHeight="1">
      <x:c r="A114" s="81" t="str">
        <x:v>docs/99_Archive/00_Project_Management/DOC-003_World_Engine_Roadmap_RU_v2_SUPERSEDED.docx</x:v>
      </x:c>
      <x:c r="B114" s="81" t="str">
        <x:v>paragraph, table</x:v>
      </x:c>
      <x:c r="C114" s="83" t="n">
        <x:v>33</x:v>
      </x:c>
      <x:c r="D114" s="83" t="n">
        <x:v>26</x:v>
      </x:c>
      <x:c r="E114" s="83" t="n">
        <x:v>3</x:v>
      </x:c>
      <x:c r="F114" s="83" t="n">
        <x:v>0</x:v>
      </x:c>
      <x:c r="G114" s="83" t="n">
        <x:v>4</x:v>
      </x:c>
      <x:c r="H114" s="83" t="n">
        <x:v>0</x:v>
      </x:c>
      <x:c r="I114" s="81" t="str">
        <x:v>Covered</x:v>
      </x:c>
    </x:row>
    <x:row r="115" ht="21.600000381469727" hidden="0" customHeight="1">
      <x:c r="A115" s="80" t="str">
        <x:v>docs/99_Archive/01_Architecture/ARCH-001_Overall_System_Architecture/ARCH-001_World_Engine_Overall_System_Architecture_DE_v1.docx</x:v>
      </x:c>
      <x:c r="B115" s="80" t="str">
        <x:v>paragraph, table</x:v>
      </x:c>
      <x:c r="C115" s="82" t="n">
        <x:v>58</x:v>
      </x:c>
      <x:c r="D115" s="82" t="n">
        <x:v>51</x:v>
      </x:c>
      <x:c r="E115" s="82" t="n">
        <x:v>1</x:v>
      </x:c>
      <x:c r="F115" s="82" t="n">
        <x:v>0</x:v>
      </x:c>
      <x:c r="G115" s="82" t="n">
        <x:v>6</x:v>
      </x:c>
      <x:c r="H115" s="82" t="n">
        <x:v>0</x:v>
      </x:c>
      <x:c r="I115" s="80" t="str">
        <x:v>Covered</x:v>
      </x:c>
    </x:row>
    <x:row r="116" ht="21.600000381469727" hidden="0" customHeight="1">
      <x:c r="A116" s="81" t="str">
        <x:v>docs/99_Archive/01_Architecture/ARCH-001_Overall_System_Architecture/ARCH-001_World_Engine_Overall_System_Architecture_RU_v1.docx</x:v>
      </x:c>
      <x:c r="B116" s="81" t="str">
        <x:v>paragraph, table</x:v>
      </x:c>
      <x:c r="C116" s="83" t="n">
        <x:v>58</x:v>
      </x:c>
      <x:c r="D116" s="83" t="n">
        <x:v>51</x:v>
      </x:c>
      <x:c r="E116" s="83" t="n">
        <x:v>1</x:v>
      </x:c>
      <x:c r="F116" s="83" t="n">
        <x:v>0</x:v>
      </x:c>
      <x:c r="G116" s="83" t="n">
        <x:v>6</x:v>
      </x:c>
      <x:c r="H116" s="83" t="n">
        <x:v>0</x:v>
      </x:c>
      <x:c r="I116" s="81" t="str">
        <x:v>Covered</x:v>
      </x:c>
    </x:row>
    <x:row r="117" ht="21.600000381469727" hidden="0" customHeight="1">
      <x:c r="A117" s="80" t="str">
        <x:v>docs/99_Archive/01_Architecture/ARCH-002_Module_Architecture/ARCH-002_World_Engine_Module_Architecture_DE_v1.docx</x:v>
      </x:c>
      <x:c r="B117" s="80" t="str">
        <x:v>paragraph, table</x:v>
      </x:c>
      <x:c r="C117" s="82" t="n">
        <x:v>77</x:v>
      </x:c>
      <x:c r="D117" s="82" t="n">
        <x:v>68</x:v>
      </x:c>
      <x:c r="E117" s="82" t="n">
        <x:v>2</x:v>
      </x:c>
      <x:c r="F117" s="82" t="n">
        <x:v>0</x:v>
      </x:c>
      <x:c r="G117" s="82" t="n">
        <x:v>7</x:v>
      </x:c>
      <x:c r="H117" s="82" t="n">
        <x:v>0</x:v>
      </x:c>
      <x:c r="I117" s="80" t="str">
        <x:v>Covered</x:v>
      </x:c>
    </x:row>
    <x:row r="118" ht="21.600000381469727" hidden="0" customHeight="1">
      <x:c r="A118" s="81" t="str">
        <x:v>docs/99_Archive/01_Architecture/ARCH-002_Module_Architecture/ARCH-002_World_Engine_Module_Architecture_RU_v1.docx</x:v>
      </x:c>
      <x:c r="B118" s="81" t="str">
        <x:v>paragraph, table</x:v>
      </x:c>
      <x:c r="C118" s="83" t="n">
        <x:v>77</x:v>
      </x:c>
      <x:c r="D118" s="83" t="n">
        <x:v>68</x:v>
      </x:c>
      <x:c r="E118" s="83" t="n">
        <x:v>2</x:v>
      </x:c>
      <x:c r="F118" s="83" t="n">
        <x:v>0</x:v>
      </x:c>
      <x:c r="G118" s="83" t="n">
        <x:v>7</x:v>
      </x:c>
      <x:c r="H118" s="83" t="n">
        <x:v>0</x:v>
      </x:c>
      <x:c r="I118" s="81" t="str">
        <x:v>Covered</x:v>
      </x:c>
    </x:row>
    <x:row r="119" ht="15" hidden="0" customHeight="1">
      <x:c r="A119" s="80" t="str">
        <x:v>docs/99_Archive/01_Architecture/ARCH-003_Data_Flow/ARCH-003_World_Engine_Data_Flow_DE_v1.docx</x:v>
      </x:c>
      <x:c r="B119" s="80" t="str">
        <x:v>paragraph, table</x:v>
      </x:c>
      <x:c r="C119" s="82" t="n">
        <x:v>135</x:v>
      </x:c>
      <x:c r="D119" s="82" t="n">
        <x:v>128</x:v>
      </x:c>
      <x:c r="E119" s="82" t="n">
        <x:v>1</x:v>
      </x:c>
      <x:c r="F119" s="82" t="n">
        <x:v>0</x:v>
      </x:c>
      <x:c r="G119" s="82" t="n">
        <x:v>6</x:v>
      </x:c>
      <x:c r="H119" s="82" t="n">
        <x:v>0</x:v>
      </x:c>
      <x:c r="I119" s="80" t="str">
        <x:v>Covered</x:v>
      </x:c>
    </x:row>
    <x:row r="120" ht="15" hidden="0" customHeight="1">
      <x:c r="A120" s="81" t="str">
        <x:v>docs/99_Archive/01_Architecture/ARCH-003_Data_Flow/ARCH-003_World_Engine_Data_Flow_RU_v1.docx</x:v>
      </x:c>
      <x:c r="B120" s="81" t="str">
        <x:v>paragraph, table</x:v>
      </x:c>
      <x:c r="C120" s="83" t="n">
        <x:v>135</x:v>
      </x:c>
      <x:c r="D120" s="83" t="n">
        <x:v>128</x:v>
      </x:c>
      <x:c r="E120" s="83" t="n">
        <x:v>1</x:v>
      </x:c>
      <x:c r="F120" s="83" t="n">
        <x:v>0</x:v>
      </x:c>
      <x:c r="G120" s="83" t="n">
        <x:v>6</x:v>
      </x:c>
      <x:c r="H120" s="83" t="n">
        <x:v>0</x:v>
      </x:c>
      <x:c r="I120" s="81" t="str">
        <x:v>Covered</x:v>
      </x:c>
    </x:row>
    <x:row r="121" ht="21.600000381469727" hidden="0" customHeight="1">
      <x:c r="A121" s="80" t="str">
        <x:v>docs/99_Archive/01_Architecture/ARCH-004_Architecture_Principles_and_Dependency_Rules/ARCH-004_World_Engine_Architecture_Principles_and_Dependency_Rules_DE_v1.docx</x:v>
      </x:c>
      <x:c r="B121" s="80" t="str">
        <x:v>paragraph, table</x:v>
      </x:c>
      <x:c r="C121" s="82" t="n">
        <x:v>77</x:v>
      </x:c>
      <x:c r="D121" s="82" t="n">
        <x:v>68</x:v>
      </x:c>
      <x:c r="E121" s="82" t="n">
        <x:v>2</x:v>
      </x:c>
      <x:c r="F121" s="82" t="n">
        <x:v>0</x:v>
      </x:c>
      <x:c r="G121" s="82" t="n">
        <x:v>7</x:v>
      </x:c>
      <x:c r="H121" s="82" t="n">
        <x:v>0</x:v>
      </x:c>
      <x:c r="I121" s="80" t="str">
        <x:v>Covered</x:v>
      </x:c>
    </x:row>
    <x:row r="122" ht="21.600000381469727" hidden="0" customHeight="1">
      <x:c r="A122" s="81" t="str">
        <x:v>docs/99_Archive/01_Architecture/ARCH-004_Architecture_Principles_and_Dependency_Rules/ARCH-004_World_Engine_Architecture_Principles_and_Dependency_Rules_RU_v1.docx</x:v>
      </x:c>
      <x:c r="B122" s="81" t="str">
        <x:v>paragraph, table</x:v>
      </x:c>
      <x:c r="C122" s="83" t="n">
        <x:v>77</x:v>
      </x:c>
      <x:c r="D122" s="83" t="n">
        <x:v>68</x:v>
      </x:c>
      <x:c r="E122" s="83" t="n">
        <x:v>2</x:v>
      </x:c>
      <x:c r="F122" s="83" t="n">
        <x:v>0</x:v>
      </x:c>
      <x:c r="G122" s="83" t="n">
        <x:v>7</x:v>
      </x:c>
      <x:c r="H122" s="83" t="n">
        <x:v>0</x:v>
      </x:c>
      <x:c r="I122" s="81" t="str">
        <x:v>Covered</x:v>
      </x:c>
    </x:row>
    <x:row r="123" ht="21.600000381469727" hidden="0" customHeight="1">
      <x:c r="A123" s="80" t="str">
        <x:v>docs/99_Archive/01_Architecture/ARCH-005_Module_Dependencies/ARCH-005_World_Engine_Module_Dependencies_DE_v1.docx</x:v>
      </x:c>
      <x:c r="B123" s="80" t="str">
        <x:v>paragraph, table</x:v>
      </x:c>
      <x:c r="C123" s="82" t="n">
        <x:v>81</x:v>
      </x:c>
      <x:c r="D123" s="82" t="n">
        <x:v>72</x:v>
      </x:c>
      <x:c r="E123" s="82" t="n">
        <x:v>2</x:v>
      </x:c>
      <x:c r="F123" s="82" t="n">
        <x:v>0</x:v>
      </x:c>
      <x:c r="G123" s="82" t="n">
        <x:v>7</x:v>
      </x:c>
      <x:c r="H123" s="82" t="n">
        <x:v>0</x:v>
      </x:c>
      <x:c r="I123" s="80" t="str">
        <x:v>Covered</x:v>
      </x:c>
    </x:row>
    <x:row r="124" ht="21.600000381469727" hidden="0" customHeight="1">
      <x:c r="A124" s="81" t="str">
        <x:v>docs/99_Archive/01_Architecture/ARCH-005_Module_Dependencies/ARCH-005_World_Engine_Module_Dependencies_RU_v1.docx</x:v>
      </x:c>
      <x:c r="B124" s="81" t="str">
        <x:v>paragraph, table</x:v>
      </x:c>
      <x:c r="C124" s="83" t="n">
        <x:v>81</x:v>
      </x:c>
      <x:c r="D124" s="83" t="n">
        <x:v>73</x:v>
      </x:c>
      <x:c r="E124" s="83" t="n">
        <x:v>1</x:v>
      </x:c>
      <x:c r="F124" s="83" t="n">
        <x:v>0</x:v>
      </x:c>
      <x:c r="G124" s="83" t="n">
        <x:v>7</x:v>
      </x:c>
      <x:c r="H124" s="83" t="n">
        <x:v>0</x:v>
      </x:c>
      <x:c r="I124" s="81" t="str">
        <x:v>Covered</x:v>
      </x:c>
    </x:row>
    <x:row r="125" ht="21.600000381469727" hidden="0" customHeight="1">
      <x:c r="A125" s="80" t="str">
        <x:v>docs/99_Archive/01_Architecture/ARCH-006_Component_Diagram/ARCH-006_Component_Diagram_Audited_Source_v1_1.md</x:v>
      </x:c>
      <x:c r="B125" s="80" t="str">
        <x:v>code, markdown</x:v>
      </x:c>
      <x:c r="C125" s="82" t="n">
        <x:v>72</x:v>
      </x:c>
      <x:c r="D125" s="82" t="n">
        <x:v>52</x:v>
      </x:c>
      <x:c r="E125" s="82" t="n">
        <x:v>20</x:v>
      </x:c>
      <x:c r="F125" s="82" t="n">
        <x:v>0</x:v>
      </x:c>
      <x:c r="G125" s="82" t="n">
        <x:v>0</x:v>
      </x:c>
      <x:c r="H125" s="82" t="n">
        <x:v>0</x:v>
      </x:c>
      <x:c r="I125" s="80" t="str">
        <x:v>Covered</x:v>
      </x:c>
    </x:row>
    <x:row r="126" ht="21.600000381469727" hidden="0" customHeight="1">
      <x:c r="A126" s="81" t="str">
        <x:v>docs/99_Archive/01_Architecture/ARCH-006_Component_Diagram/ARCH-006_World_Engine_Component_Diagram_v1_0.jpg</x:v>
      </x:c>
      <x:c r="B126" s="81" t="str">
        <x:v>asset</x:v>
      </x:c>
      <x:c r="C126" s="83" t="n">
        <x:v>2</x:v>
      </x:c>
      <x:c r="D126" s="83" t="n">
        <x:v>2</x:v>
      </x:c>
      <x:c r="E126" s="83" t="n">
        <x:v>0</x:v>
      </x:c>
      <x:c r="F126" s="83" t="n">
        <x:v>0</x:v>
      </x:c>
      <x:c r="G126" s="83" t="n">
        <x:v>0</x:v>
      </x:c>
      <x:c r="H126" s="83" t="n">
        <x:v>0</x:v>
      </x:c>
      <x:c r="I126" s="81" t="str">
        <x:v>Covered</x:v>
      </x:c>
    </x:row>
    <x:row r="127" ht="21.600000381469727" hidden="0" customHeight="1">
      <x:c r="A127" s="80" t="str">
        <x:v>docs/99_Archive/01_Architecture/ARCH-007_Sequence_Diagrams/ARCH-007_SD-005_Restore_Activation_Amendment_v4.md</x:v>
      </x:c>
      <x:c r="B127" s="80" t="str">
        <x:v>code, markdown</x:v>
      </x:c>
      <x:c r="C127" s="82" t="n">
        <x:v>58</x:v>
      </x:c>
      <x:c r="D127" s="82" t="n">
        <x:v>38</x:v>
      </x:c>
      <x:c r="E127" s="82" t="n">
        <x:v>20</x:v>
      </x:c>
      <x:c r="F127" s="82" t="n">
        <x:v>0</x:v>
      </x:c>
      <x:c r="G127" s="82" t="n">
        <x:v>0</x:v>
      </x:c>
      <x:c r="H127" s="82" t="n">
        <x:v>0</x:v>
      </x:c>
      <x:c r="I127" s="80" t="str">
        <x:v>Covered</x:v>
      </x:c>
    </x:row>
    <x:row r="128" ht="21.600000381469727" hidden="0" customHeight="1">
      <x:c r="A128" s="81" t="str">
        <x:v>docs/99_Archive/01_Architecture/ARCH-007_Sequence_Diagrams/ARCH-007_Sequence_Diagrams_Audited_Source_v3.md</x:v>
      </x:c>
      <x:c r="B128" s="81" t="str">
        <x:v>code, markdown</x:v>
      </x:c>
      <x:c r="C128" s="83" t="n">
        <x:v>174</x:v>
      </x:c>
      <x:c r="D128" s="83" t="n">
        <x:v>28</x:v>
      </x:c>
      <x:c r="E128" s="83" t="n">
        <x:v>146</x:v>
      </x:c>
      <x:c r="F128" s="83" t="n">
        <x:v>0</x:v>
      </x:c>
      <x:c r="G128" s="83" t="n">
        <x:v>0</x:v>
      </x:c>
      <x:c r="H128" s="83" t="n">
        <x:v>0</x:v>
      </x:c>
      <x:c r="I128" s="81" t="str">
        <x:v>Covered</x:v>
      </x:c>
    </x:row>
    <x:row r="129" ht="15" hidden="0" customHeight="1">
      <x:c r="A129" s="80" t="str">
        <x:v>docs/99_Archive/01_Architecture/ARCH-007_Sequence_Diagrams/ARCH-007_Sequence_Diagrams_DE_v2_Final.docx</x:v>
      </x:c>
      <x:c r="B129" s="80" t="str">
        <x:v>image, paragraph, table</x:v>
      </x:c>
      <x:c r="C129" s="82" t="n">
        <x:v>727</x:v>
      </x:c>
      <x:c r="D129" s="82" t="n">
        <x:v>623</x:v>
      </x:c>
      <x:c r="E129" s="82" t="n">
        <x:v>58</x:v>
      </x:c>
      <x:c r="F129" s="82" t="n">
        <x:v>0</x:v>
      </x:c>
      <x:c r="G129" s="82" t="n">
        <x:v>46</x:v>
      </x:c>
      <x:c r="H129" s="82" t="n">
        <x:v>0</x:v>
      </x:c>
      <x:c r="I129" s="80" t="str">
        <x:v>Covered</x:v>
      </x:c>
    </x:row>
    <x:row r="130" ht="15" hidden="0" customHeight="1">
      <x:c r="A130" s="81" t="str">
        <x:v>docs/99_Archive/01_Architecture/ARCH-007_Sequence_Diagrams/ARCH-007_Sequence_Diagrams_RU_v2_Final.docx</x:v>
      </x:c>
      <x:c r="B130" s="81" t="str">
        <x:v>image, paragraph, table</x:v>
      </x:c>
      <x:c r="C130" s="83" t="n">
        <x:v>766</x:v>
      </x:c>
      <x:c r="D130" s="83" t="n">
        <x:v>650</x:v>
      </x:c>
      <x:c r="E130" s="83" t="n">
        <x:v>60</x:v>
      </x:c>
      <x:c r="F130" s="83" t="n">
        <x:v>0</x:v>
      </x:c>
      <x:c r="G130" s="83" t="n">
        <x:v>56</x:v>
      </x:c>
      <x:c r="H130" s="83" t="n">
        <x:v>0</x:v>
      </x:c>
      <x:c r="I130" s="81" t="str">
        <x:v>Covered</x:v>
      </x:c>
    </x:row>
    <x:row r="131" ht="21.600000381469727" hidden="0" customHeight="1">
      <x:c r="A131" s="80" t="str">
        <x:v>docs/99_Archive/01_Architecture/ARCH-008_Deployment_Architecture/ARCH-008_Deployment_Architecture_DE_v1_Complete.docx</x:v>
      </x:c>
      <x:c r="B131" s="80" t="str">
        <x:v>paragraph, table</x:v>
      </x:c>
      <x:c r="C131" s="82" t="n">
        <x:v>845</x:v>
      </x:c>
      <x:c r="D131" s="82" t="n">
        <x:v>98</x:v>
      </x:c>
      <x:c r="E131" s="82" t="n">
        <x:v>674</x:v>
      </x:c>
      <x:c r="F131" s="82" t="n">
        <x:v>0</x:v>
      </x:c>
      <x:c r="G131" s="82" t="n">
        <x:v>73</x:v>
      </x:c>
      <x:c r="H131" s="82" t="n">
        <x:v>0</x:v>
      </x:c>
      <x:c r="I131" s="80" t="str">
        <x:v>Covered</x:v>
      </x:c>
    </x:row>
    <x:row r="132" ht="21.600000381469727" hidden="0" customHeight="1">
      <x:c r="A132" s="81" t="str">
        <x:v>docs/99_Archive/01_Architecture/ARCH-008_Deployment_Architecture/ARCH-008_World_Engine_Deployment_Architecture_RU_v1_Complete.docx</x:v>
      </x:c>
      <x:c r="B132" s="81" t="str">
        <x:v>paragraph, table</x:v>
      </x:c>
      <x:c r="C132" s="83" t="n">
        <x:v>845</x:v>
      </x:c>
      <x:c r="D132" s="83" t="n">
        <x:v>99</x:v>
      </x:c>
      <x:c r="E132" s="83" t="n">
        <x:v>673</x:v>
      </x:c>
      <x:c r="F132" s="83" t="n">
        <x:v>0</x:v>
      </x:c>
      <x:c r="G132" s="83" t="n">
        <x:v>73</x:v>
      </x:c>
      <x:c r="H132" s="83" t="n">
        <x:v>0</x:v>
      </x:c>
      <x:c r="I132" s="81" t="str">
        <x:v>Covered</x:v>
      </x:c>
    </x:row>
    <x:row r="133" ht="21.600000381469727" hidden="0" customHeight="1">
      <x:c r="A133" s="80" t="str">
        <x:v>docs/99_Archive/01_Architecture/ARCH-009_Configuration_Architecture/ARCH-009_Configuration_Architecture_DE_v1_Complete.docx</x:v>
      </x:c>
      <x:c r="B133" s="80" t="str">
        <x:v>paragraph, table</x:v>
      </x:c>
      <x:c r="C133" s="82" t="n">
        <x:v>867</x:v>
      </x:c>
      <x:c r="D133" s="82" t="n">
        <x:v>48</x:v>
      </x:c>
      <x:c r="E133" s="82" t="n">
        <x:v>735</x:v>
      </x:c>
      <x:c r="F133" s="82" t="n">
        <x:v>0</x:v>
      </x:c>
      <x:c r="G133" s="82" t="n">
        <x:v>84</x:v>
      </x:c>
      <x:c r="H133" s="82" t="n">
        <x:v>0</x:v>
      </x:c>
      <x:c r="I133" s="80" t="str">
        <x:v>Covered</x:v>
      </x:c>
    </x:row>
    <x:row r="134" ht="21.600000381469727" hidden="0" customHeight="1">
      <x:c r="A134" s="81" t="str">
        <x:v>docs/99_Archive/01_Architecture/ARCH-009_Configuration_Architecture/ARCH-009_Configuration_Architecture_RU_v1_Complete.docx</x:v>
      </x:c>
      <x:c r="B134" s="81" t="str">
        <x:v>paragraph, table</x:v>
      </x:c>
      <x:c r="C134" s="83" t="n">
        <x:v>868</x:v>
      </x:c>
      <x:c r="D134" s="83" t="n">
        <x:v>49</x:v>
      </x:c>
      <x:c r="E134" s="83" t="n">
        <x:v>735</x:v>
      </x:c>
      <x:c r="F134" s="83" t="n">
        <x:v>0</x:v>
      </x:c>
      <x:c r="G134" s="83" t="n">
        <x:v>84</x:v>
      </x:c>
      <x:c r="H134" s="83" t="n">
        <x:v>0</x:v>
      </x:c>
      <x:c r="I134" s="81" t="str">
        <x:v>Covered</x:v>
      </x:c>
    </x:row>
    <x:row r="135" ht="21.600000381469727" hidden="0" customHeight="1">
      <x:c r="A135" s="80" t="str">
        <x:v>docs/99_Archive/01_Architecture/ARCH-010_Plugin_Architecture/ARCH-010_Plugin_Architecture_DE_v1_Complete.docx</x:v>
      </x:c>
      <x:c r="B135" s="80" t="str">
        <x:v>paragraph, table</x:v>
      </x:c>
      <x:c r="C135" s="82" t="n">
        <x:v>967</x:v>
      </x:c>
      <x:c r="D135" s="82" t="n">
        <x:v>35</x:v>
      </x:c>
      <x:c r="E135" s="82" t="n">
        <x:v>839</x:v>
      </x:c>
      <x:c r="F135" s="82" t="n">
        <x:v>0</x:v>
      </x:c>
      <x:c r="G135" s="82" t="n">
        <x:v>93</x:v>
      </x:c>
      <x:c r="H135" s="82" t="n">
        <x:v>0</x:v>
      </x:c>
      <x:c r="I135" s="80" t="str">
        <x:v>Covered</x:v>
      </x:c>
    </x:row>
    <x:row r="136" ht="21.600000381469727" hidden="0" customHeight="1">
      <x:c r="A136" s="81" t="str">
        <x:v>docs/99_Archive/01_Architecture/ARCH-010_Plugin_Architecture/ARCH-010_Plugin_Architecture_RU_v1_Complete.docx</x:v>
      </x:c>
      <x:c r="B136" s="81" t="str">
        <x:v>paragraph, table</x:v>
      </x:c>
      <x:c r="C136" s="83" t="n">
        <x:v>967</x:v>
      </x:c>
      <x:c r="D136" s="83" t="n">
        <x:v>36</x:v>
      </x:c>
      <x:c r="E136" s="83" t="n">
        <x:v>838</x:v>
      </x:c>
      <x:c r="F136" s="83" t="n">
        <x:v>0</x:v>
      </x:c>
      <x:c r="G136" s="83" t="n">
        <x:v>93</x:v>
      </x:c>
      <x:c r="H136" s="83" t="n">
        <x:v>0</x:v>
      </x:c>
      <x:c r="I136" s="81" t="str">
        <x:v>Covered</x:v>
      </x:c>
    </x:row>
    <x:row r="137" ht="21.600000381469727" hidden="0" customHeight="1">
      <x:c r="A137" s="80" t="str">
        <x:v>docs/99_Archive/01_Architecture/ARCH-011_Save_System_Architecture/ARCH-011_Save_System_Architecture_DE_v1_Complete.docx</x:v>
      </x:c>
      <x:c r="B137" s="80" t="str">
        <x:v>paragraph, table</x:v>
      </x:c>
      <x:c r="C137" s="82" t="n">
        <x:v>943</x:v>
      </x:c>
      <x:c r="D137" s="82" t="n">
        <x:v>748</x:v>
      </x:c>
      <x:c r="E137" s="82" t="n">
        <x:v>96</x:v>
      </x:c>
      <x:c r="F137" s="82" t="n">
        <x:v>0</x:v>
      </x:c>
      <x:c r="G137" s="82" t="n">
        <x:v>99</x:v>
      </x:c>
      <x:c r="H137" s="82" t="n">
        <x:v>0</x:v>
      </x:c>
      <x:c r="I137" s="80" t="str">
        <x:v>Covered</x:v>
      </x:c>
    </x:row>
    <x:row r="138" ht="21.600000381469727" hidden="0" customHeight="1">
      <x:c r="A138" s="81" t="str">
        <x:v>docs/99_Archive/01_Architecture/ARCH-011_Save_System_Architecture/ARCH-011_Save_System_Architecture_RU_v1_Complete.docx</x:v>
      </x:c>
      <x:c r="B138" s="81" t="str">
        <x:v>paragraph, table</x:v>
      </x:c>
      <x:c r="C138" s="83" t="n">
        <x:v>946</x:v>
      </x:c>
      <x:c r="D138" s="83" t="n">
        <x:v>752</x:v>
      </x:c>
      <x:c r="E138" s="83" t="n">
        <x:v>95</x:v>
      </x:c>
      <x:c r="F138" s="83" t="n">
        <x:v>0</x:v>
      </x:c>
      <x:c r="G138" s="83" t="n">
        <x:v>99</x:v>
      </x:c>
      <x:c r="H138" s="83" t="n">
        <x:v>0</x:v>
      </x:c>
      <x:c r="I138" s="81" t="str">
        <x:v>Covered</x:v>
      </x:c>
    </x:row>
    <x:row r="139" ht="21.600000381469727" hidden="0" customHeight="1">
      <x:c r="A139" s="80" t="str">
        <x:v>docs/99_Archive/01_Architecture/ARCH-012_AI_Integration_Architecture/ARCH-012_AI_Integration_Architecture_DE_v1_Complete.docx</x:v>
      </x:c>
      <x:c r="B139" s="80" t="str">
        <x:v>paragraph, table</x:v>
      </x:c>
      <x:c r="C139" s="82" t="n">
        <x:v>992</x:v>
      </x:c>
      <x:c r="D139" s="82" t="n">
        <x:v>744</x:v>
      </x:c>
      <x:c r="E139" s="82" t="n">
        <x:v>137</x:v>
      </x:c>
      <x:c r="F139" s="82" t="n">
        <x:v>0</x:v>
      </x:c>
      <x:c r="G139" s="82" t="n">
        <x:v>111</x:v>
      </x:c>
      <x:c r="H139" s="82" t="n">
        <x:v>0</x:v>
      </x:c>
      <x:c r="I139" s="80" t="str">
        <x:v>Covered</x:v>
      </x:c>
    </x:row>
    <x:row r="140" ht="21.600000381469727" hidden="0" customHeight="1">
      <x:c r="A140" s="81" t="str">
        <x:v>docs/99_Archive/01_Architecture/ARCH-012_AI_Integration_Architecture/ARCH-012_AI_Integration_Architecture_RU_v1_Complete.docx</x:v>
      </x:c>
      <x:c r="B140" s="81" t="str">
        <x:v>paragraph, table</x:v>
      </x:c>
      <x:c r="C140" s="83" t="n">
        <x:v>993</x:v>
      </x:c>
      <x:c r="D140" s="83" t="n">
        <x:v>746</x:v>
      </x:c>
      <x:c r="E140" s="83" t="n">
        <x:v>136</x:v>
      </x:c>
      <x:c r="F140" s="83" t="n">
        <x:v>0</x:v>
      </x:c>
      <x:c r="G140" s="83" t="n">
        <x:v>111</x:v>
      </x:c>
      <x:c r="H140" s="83" t="n">
        <x:v>0</x:v>
      </x:c>
      <x:c r="I140" s="81" t="str">
        <x:v>Covered</x:v>
      </x:c>
    </x:row>
    <x:row r="141" ht="21.600000381469727" hidden="0" customHeight="1">
      <x:c r="A141" s="80" t="str">
        <x:v>docs/99_Archive/02_Architecture_Decision_Records/ADR-001_Core_Architecture/ADR-001_Core_Architecture_Amendment_DE_v1_1_Proposed.docx</x:v>
      </x:c>
      <x:c r="B141" s="80" t="str">
        <x:v>metadata, paragraph, table</x:v>
      </x:c>
      <x:c r="C141" s="82" t="n">
        <x:v>32</x:v>
      </x:c>
      <x:c r="D141" s="82" t="n">
        <x:v>25</x:v>
      </x:c>
      <x:c r="E141" s="82" t="n">
        <x:v>2</x:v>
      </x:c>
      <x:c r="F141" s="82" t="n">
        <x:v>1</x:v>
      </x:c>
      <x:c r="G141" s="82" t="n">
        <x:v>4</x:v>
      </x:c>
      <x:c r="H141" s="82" t="n">
        <x:v>0</x:v>
      </x:c>
      <x:c r="I141" s="80" t="str">
        <x:v>Covered</x:v>
      </x:c>
    </x:row>
    <x:row r="142" ht="21.600000381469727" hidden="0" customHeight="1">
      <x:c r="A142" s="81" t="str">
        <x:v>docs/99_Archive/02_Architecture_Decision_Records/ADR-001_Core_Architecture/ADR-001_Core_Architecture_Amendment_RU_v1_1_Proposed.docx</x:v>
      </x:c>
      <x:c r="B142" s="81" t="str">
        <x:v>metadata, paragraph, table</x:v>
      </x:c>
      <x:c r="C142" s="83" t="n">
        <x:v>32</x:v>
      </x:c>
      <x:c r="D142" s="83" t="n">
        <x:v>26</x:v>
      </x:c>
      <x:c r="E142" s="83" t="n">
        <x:v>1</x:v>
      </x:c>
      <x:c r="F142" s="83" t="n">
        <x:v>1</x:v>
      </x:c>
      <x:c r="G142" s="83" t="n">
        <x:v>4</x:v>
      </x:c>
      <x:c r="H142" s="83" t="n">
        <x:v>0</x:v>
      </x:c>
      <x:c r="I142" s="81" t="str">
        <x:v>Covered</x:v>
      </x:c>
    </x:row>
    <x:row r="143" ht="21.600000381469727" hidden="0" customHeight="1">
      <x:c r="A143" s="80" t="str">
        <x:v>docs/99_Archive/02_Architecture_Decision_Records/ADR-001_Core_Architecture/ADR-001_Core_Architecture_DE_v1_Complete.docx</x:v>
      </x:c>
      <x:c r="B143" s="80" t="str">
        <x:v>paragraph, table</x:v>
      </x:c>
      <x:c r="C143" s="82" t="n">
        <x:v>440</x:v>
      </x:c>
      <x:c r="D143" s="82" t="n">
        <x:v>356</x:v>
      </x:c>
      <x:c r="E143" s="82" t="n">
        <x:v>19</x:v>
      </x:c>
      <x:c r="F143" s="82" t="n">
        <x:v>0</x:v>
      </x:c>
      <x:c r="G143" s="82" t="n">
        <x:v>65</x:v>
      </x:c>
      <x:c r="H143" s="82" t="n">
        <x:v>0</x:v>
      </x:c>
      <x:c r="I143" s="80" t="str">
        <x:v>Covered</x:v>
      </x:c>
    </x:row>
    <x:row r="144" ht="21.600000381469727" hidden="0" customHeight="1">
      <x:c r="A144" s="81" t="str">
        <x:v>docs/99_Archive/02_Architecture_Decision_Records/ADR-001_Core_Architecture/ADR-001_Core_Architecture_RU_v1_Complete.docx</x:v>
      </x:c>
      <x:c r="B144" s="81" t="str">
        <x:v>paragraph, table</x:v>
      </x:c>
      <x:c r="C144" s="83" t="n">
        <x:v>440</x:v>
      </x:c>
      <x:c r="D144" s="83" t="n">
        <x:v>356</x:v>
      </x:c>
      <x:c r="E144" s="83" t="n">
        <x:v>19</x:v>
      </x:c>
      <x:c r="F144" s="83" t="n">
        <x:v>0</x:v>
      </x:c>
      <x:c r="G144" s="83" t="n">
        <x:v>65</x:v>
      </x:c>
      <x:c r="H144" s="83" t="n">
        <x:v>0</x:v>
      </x:c>
      <x:c r="I144" s="81" t="str">
        <x:v>Covered</x:v>
      </x:c>
    </x:row>
    <x:row r="145" ht="21.600000381469727" hidden="0" customHeight="1">
      <x:c r="A145" s="80" t="str">
        <x:v>docs/99_Archive/02_Architecture_Decision_Records/ADR-002_Event_System/ADR-002_Event_System_Clarification_DE_v1_1_Proposed.docx</x:v>
      </x:c>
      <x:c r="B145" s="80" t="str">
        <x:v>metadata, paragraph, table</x:v>
      </x:c>
      <x:c r="C145" s="82" t="n">
        <x:v>32</x:v>
      </x:c>
      <x:c r="D145" s="82" t="n">
        <x:v>25</x:v>
      </x:c>
      <x:c r="E145" s="82" t="n">
        <x:v>2</x:v>
      </x:c>
      <x:c r="F145" s="82" t="n">
        <x:v>1</x:v>
      </x:c>
      <x:c r="G145" s="82" t="n">
        <x:v>4</x:v>
      </x:c>
      <x:c r="H145" s="82" t="n">
        <x:v>0</x:v>
      </x:c>
      <x:c r="I145" s="80" t="str">
        <x:v>Covered</x:v>
      </x:c>
    </x:row>
    <x:row r="146" ht="21.600000381469727" hidden="0" customHeight="1">
      <x:c r="A146" s="81" t="str">
        <x:v>docs/99_Archive/02_Architecture_Decision_Records/ADR-002_Event_System/ADR-002_Event_System_Clarification_RU_v1_1_Proposed.docx</x:v>
      </x:c>
      <x:c r="B146" s="81" t="str">
        <x:v>metadata, paragraph, table</x:v>
      </x:c>
      <x:c r="C146" s="83" t="n">
        <x:v>32</x:v>
      </x:c>
      <x:c r="D146" s="83" t="n">
        <x:v>26</x:v>
      </x:c>
      <x:c r="E146" s="83" t="n">
        <x:v>1</x:v>
      </x:c>
      <x:c r="F146" s="83" t="n">
        <x:v>1</x:v>
      </x:c>
      <x:c r="G146" s="83" t="n">
        <x:v>4</x:v>
      </x:c>
      <x:c r="H146" s="83" t="n">
        <x:v>0</x:v>
      </x:c>
      <x:c r="I146" s="81" t="str">
        <x:v>Covered</x:v>
      </x:c>
    </x:row>
    <x:row r="147" ht="21.600000381469727" hidden="0" customHeight="1">
      <x:c r="A147" s="80" t="str">
        <x:v>docs/99_Archive/02_Architecture_Decision_Records/ADR-002_Event_System/ADR-002_Event_System_DE_v1_Complete.docx</x:v>
      </x:c>
      <x:c r="B147" s="80" t="str">
        <x:v>paragraph, table</x:v>
      </x:c>
      <x:c r="C147" s="82" t="n">
        <x:v>530</x:v>
      </x:c>
      <x:c r="D147" s="82" t="n">
        <x:v>415</x:v>
      </x:c>
      <x:c r="E147" s="82" t="n">
        <x:v>36</x:v>
      </x:c>
      <x:c r="F147" s="82" t="n">
        <x:v>0</x:v>
      </x:c>
      <x:c r="G147" s="82" t="n">
        <x:v>79</x:v>
      </x:c>
      <x:c r="H147" s="82" t="n">
        <x:v>0</x:v>
      </x:c>
      <x:c r="I147" s="80" t="str">
        <x:v>Covered</x:v>
      </x:c>
    </x:row>
    <x:row r="148" ht="21.600000381469727" hidden="0" customHeight="1">
      <x:c r="A148" s="81" t="str">
        <x:v>docs/99_Archive/02_Architecture_Decision_Records/ADR-002_Event_System/ADR-002_Event_System_RU_v1_Complete.docx</x:v>
      </x:c>
      <x:c r="B148" s="81" t="str">
        <x:v>paragraph, table</x:v>
      </x:c>
      <x:c r="C148" s="83" t="n">
        <x:v>530</x:v>
      </x:c>
      <x:c r="D148" s="83" t="n">
        <x:v>414</x:v>
      </x:c>
      <x:c r="E148" s="83" t="n">
        <x:v>37</x:v>
      </x:c>
      <x:c r="F148" s="83" t="n">
        <x:v>0</x:v>
      </x:c>
      <x:c r="G148" s="83" t="n">
        <x:v>79</x:v>
      </x:c>
      <x:c r="H148" s="83" t="n">
        <x:v>0</x:v>
      </x:c>
      <x:c r="I148" s="81" t="str">
        <x:v>Covered</x:v>
      </x:c>
    </x:row>
    <x:row r="149" ht="21.600000381469727" hidden="0" customHeight="1">
      <x:c r="A149" s="80" t="str">
        <x:v>docs/99_Archive/02_Architecture_Decision_Records/ADR-003_Database/ADR-003_Database_Amendment_DE_v1_1_Proposed.docx</x:v>
      </x:c>
      <x:c r="B149" s="80" t="str">
        <x:v>metadata, paragraph, table</x:v>
      </x:c>
      <x:c r="C149" s="82" t="n">
        <x:v>32</x:v>
      </x:c>
      <x:c r="D149" s="82" t="n">
        <x:v>25</x:v>
      </x:c>
      <x:c r="E149" s="82" t="n">
        <x:v>2</x:v>
      </x:c>
      <x:c r="F149" s="82" t="n">
        <x:v>1</x:v>
      </x:c>
      <x:c r="G149" s="82" t="n">
        <x:v>4</x:v>
      </x:c>
      <x:c r="H149" s="82" t="n">
        <x:v>0</x:v>
      </x:c>
      <x:c r="I149" s="80" t="str">
        <x:v>Covered</x:v>
      </x:c>
    </x:row>
    <x:row r="150" ht="21.600000381469727" hidden="0" customHeight="1">
      <x:c r="A150" s="81" t="str">
        <x:v>docs/99_Archive/02_Architecture_Decision_Records/ADR-003_Database/ADR-003_Database_Amendment_RU_v1_1_Proposed.docx</x:v>
      </x:c>
      <x:c r="B150" s="81" t="str">
        <x:v>metadata, paragraph, table</x:v>
      </x:c>
      <x:c r="C150" s="83" t="n">
        <x:v>32</x:v>
      </x:c>
      <x:c r="D150" s="83" t="n">
        <x:v>26</x:v>
      </x:c>
      <x:c r="E150" s="83" t="n">
        <x:v>1</x:v>
      </x:c>
      <x:c r="F150" s="83" t="n">
        <x:v>1</x:v>
      </x:c>
      <x:c r="G150" s="83" t="n">
        <x:v>4</x:v>
      </x:c>
      <x:c r="H150" s="83" t="n">
        <x:v>0</x:v>
      </x:c>
      <x:c r="I150" s="81" t="str">
        <x:v>Covered</x:v>
      </x:c>
    </x:row>
    <x:row r="151" ht="15" hidden="0" customHeight="1">
      <x:c r="A151" s="80" t="str">
        <x:v>docs/99_Archive/02_Architecture_Decision_Records/ADR-003_Database/ADR-003_Database_DE_v1_Complete.docx</x:v>
      </x:c>
      <x:c r="B151" s="80" t="str">
        <x:v>paragraph, table</x:v>
      </x:c>
      <x:c r="C151" s="82" t="n">
        <x:v>524</x:v>
      </x:c>
      <x:c r="D151" s="82" t="n">
        <x:v>409</x:v>
      </x:c>
      <x:c r="E151" s="82" t="n">
        <x:v>28</x:v>
      </x:c>
      <x:c r="F151" s="82" t="n">
        <x:v>0</x:v>
      </x:c>
      <x:c r="G151" s="82" t="n">
        <x:v>87</x:v>
      </x:c>
      <x:c r="H151" s="82" t="n">
        <x:v>0</x:v>
      </x:c>
      <x:c r="I151" s="80" t="str">
        <x:v>Covered</x:v>
      </x:c>
    </x:row>
    <x:row r="152" ht="15" hidden="0" customHeight="1">
      <x:c r="A152" s="81" t="str">
        <x:v>docs/99_Archive/02_Architecture_Decision_Records/ADR-003_Database/ADR-003_Database_RU_v1_Complete.docx</x:v>
      </x:c>
      <x:c r="B152" s="81" t="str">
        <x:v>paragraph, table</x:v>
      </x:c>
      <x:c r="C152" s="83" t="n">
        <x:v>524</x:v>
      </x:c>
      <x:c r="D152" s="83" t="n">
        <x:v>411</x:v>
      </x:c>
      <x:c r="E152" s="83" t="n">
        <x:v>26</x:v>
      </x:c>
      <x:c r="F152" s="83" t="n">
        <x:v>0</x:v>
      </x:c>
      <x:c r="G152" s="83" t="n">
        <x:v>87</x:v>
      </x:c>
      <x:c r="H152" s="83" t="n">
        <x:v>0</x:v>
      </x:c>
      <x:c r="I152" s="81" t="str">
        <x:v>Covered</x:v>
      </x:c>
    </x:row>
    <x:row r="153" ht="21.600000381469727" hidden="0" customHeight="1">
      <x:c r="A153" s="80" t="str">
        <x:v>docs/99_Archive/02_Architecture_Decision_Records/ADR-004_Local_AI/ADR-004_Local_AI_Amendment_DE_v1_1_Proposed.docx</x:v>
      </x:c>
      <x:c r="B153" s="80" t="str">
        <x:v>metadata, paragraph, table</x:v>
      </x:c>
      <x:c r="C153" s="82" t="n">
        <x:v>32</x:v>
      </x:c>
      <x:c r="D153" s="82" t="n">
        <x:v>25</x:v>
      </x:c>
      <x:c r="E153" s="82" t="n">
        <x:v>2</x:v>
      </x:c>
      <x:c r="F153" s="82" t="n">
        <x:v>1</x:v>
      </x:c>
      <x:c r="G153" s="82" t="n">
        <x:v>4</x:v>
      </x:c>
      <x:c r="H153" s="82" t="n">
        <x:v>0</x:v>
      </x:c>
      <x:c r="I153" s="80" t="str">
        <x:v>Covered</x:v>
      </x:c>
    </x:row>
    <x:row r="154" ht="21.600000381469727" hidden="0" customHeight="1">
      <x:c r="A154" s="81" t="str">
        <x:v>docs/99_Archive/02_Architecture_Decision_Records/ADR-004_Local_AI/ADR-004_Local_AI_Amendment_RU_v1_1_Proposed.docx</x:v>
      </x:c>
      <x:c r="B154" s="81" t="str">
        <x:v>metadata, paragraph, table</x:v>
      </x:c>
      <x:c r="C154" s="83" t="n">
        <x:v>32</x:v>
      </x:c>
      <x:c r="D154" s="83" t="n">
        <x:v>26</x:v>
      </x:c>
      <x:c r="E154" s="83" t="n">
        <x:v>1</x:v>
      </x:c>
      <x:c r="F154" s="83" t="n">
        <x:v>1</x:v>
      </x:c>
      <x:c r="G154" s="83" t="n">
        <x:v>4</x:v>
      </x:c>
      <x:c r="H154" s="83" t="n">
        <x:v>0</x:v>
      </x:c>
      <x:c r="I154" s="81" t="str">
        <x:v>Covered</x:v>
      </x:c>
    </x:row>
    <x:row r="155" ht="15" hidden="0" customHeight="1">
      <x:c r="A155" s="80" t="str">
        <x:v>docs/99_Archive/02_Architecture_Decision_Records/ADR-004_Local_AI/ADR-004_Local_AI_DE_v1_Complete.docx</x:v>
      </x:c>
      <x:c r="B155" s="80" t="str">
        <x:v>paragraph, table</x:v>
      </x:c>
      <x:c r="C155" s="82" t="n">
        <x:v>527</x:v>
      </x:c>
      <x:c r="D155" s="82" t="n">
        <x:v>411</x:v>
      </x:c>
      <x:c r="E155" s="82" t="n">
        <x:v>28</x:v>
      </x:c>
      <x:c r="F155" s="82" t="n">
        <x:v>0</x:v>
      </x:c>
      <x:c r="G155" s="82" t="n">
        <x:v>88</x:v>
      </x:c>
      <x:c r="H155" s="82" t="n">
        <x:v>0</x:v>
      </x:c>
      <x:c r="I155" s="80" t="str">
        <x:v>Covered</x:v>
      </x:c>
    </x:row>
    <x:row r="156" ht="15" hidden="0" customHeight="1">
      <x:c r="A156" s="81" t="str">
        <x:v>docs/99_Archive/02_Architecture_Decision_Records/ADR-004_Local_AI/ADR-004_Local_AI_RU_v1_Complete.docx</x:v>
      </x:c>
      <x:c r="B156" s="81" t="str">
        <x:v>paragraph, table</x:v>
      </x:c>
      <x:c r="C156" s="83" t="n">
        <x:v>526</x:v>
      </x:c>
      <x:c r="D156" s="83" t="n">
        <x:v>410</x:v>
      </x:c>
      <x:c r="E156" s="83" t="n">
        <x:v>28</x:v>
      </x:c>
      <x:c r="F156" s="83" t="n">
        <x:v>0</x:v>
      </x:c>
      <x:c r="G156" s="83" t="n">
        <x:v>88</x:v>
      </x:c>
      <x:c r="H156" s="83" t="n">
        <x:v>0</x:v>
      </x:c>
      <x:c r="I156" s="81" t="str">
        <x:v>Covered</x:v>
      </x:c>
    </x:row>
    <x:row r="157" ht="21.600000381469727" hidden="0" customHeight="1">
      <x:c r="A157" s="80" t="str">
        <x:v>docs/99_Archive/02_Architecture_Decision_Records/ADR-005_Save_System/ADR-005_Save_System_Amendment_DE_v1_2_Proposed_Audited.docx</x:v>
      </x:c>
      <x:c r="B157" s="80" t="str">
        <x:v>metadata, paragraph, table</x:v>
      </x:c>
      <x:c r="C157" s="82" t="n">
        <x:v>37</x:v>
      </x:c>
      <x:c r="D157" s="82" t="n">
        <x:v>31</x:v>
      </x:c>
      <x:c r="E157" s="82" t="n">
        <x:v>2</x:v>
      </x:c>
      <x:c r="F157" s="82" t="n">
        <x:v>1</x:v>
      </x:c>
      <x:c r="G157" s="82" t="n">
        <x:v>3</x:v>
      </x:c>
      <x:c r="H157" s="82" t="n">
        <x:v>0</x:v>
      </x:c>
      <x:c r="I157" s="80" t="str">
        <x:v>Covered</x:v>
      </x:c>
    </x:row>
    <x:row r="158" ht="21.600000381469727" hidden="0" customHeight="1">
      <x:c r="A158" s="81" t="str">
        <x:v>docs/99_Archive/02_Architecture_Decision_Records/ADR-005_Save_System/ADR-005_Save_System_Amendment_RU_v1_2_Proposed_Audited.docx</x:v>
      </x:c>
      <x:c r="B158" s="81" t="str">
        <x:v>metadata, paragraph, table</x:v>
      </x:c>
      <x:c r="C158" s="83" t="n">
        <x:v>37</x:v>
      </x:c>
      <x:c r="D158" s="83" t="n">
        <x:v>32</x:v>
      </x:c>
      <x:c r="E158" s="83" t="n">
        <x:v>1</x:v>
      </x:c>
      <x:c r="F158" s="83" t="n">
        <x:v>1</x:v>
      </x:c>
      <x:c r="G158" s="83" t="n">
        <x:v>3</x:v>
      </x:c>
      <x:c r="H158" s="83" t="n">
        <x:v>0</x:v>
      </x:c>
      <x:c r="I158" s="81" t="str">
        <x:v>Covered</x:v>
      </x:c>
    </x:row>
    <x:row r="159" ht="21.600000381469727" hidden="0" customHeight="1">
      <x:c r="A159" s="80" t="str">
        <x:v>docs/99_Archive/02_Architecture_Decision_Records/ADR-005_Save_System/ADR-005_Save_System_DE_v1_Complete.docx</x:v>
      </x:c>
      <x:c r="B159" s="80" t="str">
        <x:v>paragraph, table</x:v>
      </x:c>
      <x:c r="C159" s="82" t="n">
        <x:v>553</x:v>
      </x:c>
      <x:c r="D159" s="82" t="n">
        <x:v>416</x:v>
      </x:c>
      <x:c r="E159" s="82" t="n">
        <x:v>48</x:v>
      </x:c>
      <x:c r="F159" s="82" t="n">
        <x:v>0</x:v>
      </x:c>
      <x:c r="G159" s="82" t="n">
        <x:v>89</x:v>
      </x:c>
      <x:c r="H159" s="82" t="n">
        <x:v>0</x:v>
      </x:c>
      <x:c r="I159" s="80" t="str">
        <x:v>Covered</x:v>
      </x:c>
    </x:row>
    <x:row r="160" ht="21.600000381469727" hidden="0" customHeight="1">
      <x:c r="A160" s="81" t="str">
        <x:v>docs/99_Archive/02_Architecture_Decision_Records/ADR-005_Save_System/ADR-005_Save_System_RU_v1_Complete.docx</x:v>
      </x:c>
      <x:c r="B160" s="81" t="str">
        <x:v>paragraph, table</x:v>
      </x:c>
      <x:c r="C160" s="83" t="n">
        <x:v>554</x:v>
      </x:c>
      <x:c r="D160" s="83" t="n">
        <x:v>417</x:v>
      </x:c>
      <x:c r="E160" s="83" t="n">
        <x:v>48</x:v>
      </x:c>
      <x:c r="F160" s="83" t="n">
        <x:v>0</x:v>
      </x:c>
      <x:c r="G160" s="83" t="n">
        <x:v>89</x:v>
      </x:c>
      <x:c r="H160" s="83" t="n">
        <x:v>0</x:v>
      </x:c>
      <x:c r="I160" s="81" t="str">
        <x:v>Covered</x:v>
      </x:c>
    </x:row>
    <x:row r="161" ht="21.600000381469727" hidden="0" customHeight="1">
      <x:c r="A161" s="80" t="str">
        <x:v>docs/99_Archive/02_Architecture_Decision_Records/ADR-006_Plugin_Detection/ADR-006_Plugin_Detection_Clarification_DE_v1_1_Proposed.docx</x:v>
      </x:c>
      <x:c r="B161" s="80" t="str">
        <x:v>metadata, paragraph, table</x:v>
      </x:c>
      <x:c r="C161" s="82" t="n">
        <x:v>32</x:v>
      </x:c>
      <x:c r="D161" s="82" t="n">
        <x:v>25</x:v>
      </x:c>
      <x:c r="E161" s="82" t="n">
        <x:v>2</x:v>
      </x:c>
      <x:c r="F161" s="82" t="n">
        <x:v>1</x:v>
      </x:c>
      <x:c r="G161" s="82" t="n">
        <x:v>4</x:v>
      </x:c>
      <x:c r="H161" s="82" t="n">
        <x:v>0</x:v>
      </x:c>
      <x:c r="I161" s="80" t="str">
        <x:v>Covered</x:v>
      </x:c>
    </x:row>
    <x:row r="162" ht="21.600000381469727" hidden="0" customHeight="1">
      <x:c r="A162" s="81" t="str">
        <x:v>docs/99_Archive/02_Architecture_Decision_Records/ADR-006_Plugin_Detection/ADR-006_Plugin_Detection_Clarification_RU_v1_1_Proposed.docx</x:v>
      </x:c>
      <x:c r="B162" s="81" t="str">
        <x:v>metadata, paragraph, table</x:v>
      </x:c>
      <x:c r="C162" s="83" t="n">
        <x:v>32</x:v>
      </x:c>
      <x:c r="D162" s="83" t="n">
        <x:v>26</x:v>
      </x:c>
      <x:c r="E162" s="83" t="n">
        <x:v>1</x:v>
      </x:c>
      <x:c r="F162" s="83" t="n">
        <x:v>1</x:v>
      </x:c>
      <x:c r="G162" s="83" t="n">
        <x:v>4</x:v>
      </x:c>
      <x:c r="H162" s="83" t="n">
        <x:v>0</x:v>
      </x:c>
      <x:c r="I162" s="81" t="str">
        <x:v>Covered</x:v>
      </x:c>
    </x:row>
    <x:row r="163" ht="21.600000381469727" hidden="0" customHeight="1">
      <x:c r="A163" s="80" t="str">
        <x:v>docs/99_Archive/02_Architecture_Decision_Records/ADR-006_Plugin_Detection/ADR-006_Plugin_Detection_DE_v1_Complete.docx</x:v>
      </x:c>
      <x:c r="B163" s="80" t="str">
        <x:v>paragraph, table</x:v>
      </x:c>
      <x:c r="C163" s="82" t="n">
        <x:v>529</x:v>
      </x:c>
      <x:c r="D163" s="82" t="n">
        <x:v>399</x:v>
      </x:c>
      <x:c r="E163" s="82" t="n">
        <x:v>43</x:v>
      </x:c>
      <x:c r="F163" s="82" t="n">
        <x:v>0</x:v>
      </x:c>
      <x:c r="G163" s="82" t="n">
        <x:v>87</x:v>
      </x:c>
      <x:c r="H163" s="82" t="n">
        <x:v>0</x:v>
      </x:c>
      <x:c r="I163" s="80" t="str">
        <x:v>Covered</x:v>
      </x:c>
    </x:row>
    <x:row r="164" ht="21.600000381469727" hidden="0" customHeight="1">
      <x:c r="A164" s="81" t="str">
        <x:v>docs/99_Archive/02_Architecture_Decision_Records/ADR-006_Plugin_Detection/ADR-006_Plugin_Detection_RU_v1_Complete.docx</x:v>
      </x:c>
      <x:c r="B164" s="81" t="str">
        <x:v>paragraph, table</x:v>
      </x:c>
      <x:c r="C164" s="83" t="n">
        <x:v>529</x:v>
      </x:c>
      <x:c r="D164" s="83" t="n">
        <x:v>400</x:v>
      </x:c>
      <x:c r="E164" s="83" t="n">
        <x:v>42</x:v>
      </x:c>
      <x:c r="F164" s="83" t="n">
        <x:v>0</x:v>
      </x:c>
      <x:c r="G164" s="83" t="n">
        <x:v>87</x:v>
      </x:c>
      <x:c r="H164" s="83" t="n">
        <x:v>0</x:v>
      </x:c>
      <x:c r="I164" s="81" t="str">
        <x:v>Covered</x:v>
      </x:c>
    </x:row>
    <x:row r="165" ht="21.600000381469727" hidden="0" customHeight="1">
      <x:c r="A165" s="80" t="str">
        <x:v>docs/99_Archive/02_Architecture_Decision_Records/ADR-007_Multi_Game_Support/ADR-007_Multi_Game_Support_Amendment_DE_v1_1_Proposed.docx</x:v>
      </x:c>
      <x:c r="B165" s="80" t="str">
        <x:v>metadata, paragraph, table</x:v>
      </x:c>
      <x:c r="C165" s="82" t="n">
        <x:v>32</x:v>
      </x:c>
      <x:c r="D165" s="82" t="n">
        <x:v>25</x:v>
      </x:c>
      <x:c r="E165" s="82" t="n">
        <x:v>2</x:v>
      </x:c>
      <x:c r="F165" s="82" t="n">
        <x:v>1</x:v>
      </x:c>
      <x:c r="G165" s="82" t="n">
        <x:v>4</x:v>
      </x:c>
      <x:c r="H165" s="82" t="n">
        <x:v>0</x:v>
      </x:c>
      <x:c r="I165" s="80" t="str">
        <x:v>Covered</x:v>
      </x:c>
    </x:row>
    <x:row r="166" ht="21.600000381469727" hidden="0" customHeight="1">
      <x:c r="A166" s="81" t="str">
        <x:v>docs/99_Archive/02_Architecture_Decision_Records/ADR-007_Multi_Game_Support/ADR-007_Multi_Game_Support_Amendment_RU_v1_1_Proposed.docx</x:v>
      </x:c>
      <x:c r="B166" s="81" t="str">
        <x:v>metadata, paragraph, table</x:v>
      </x:c>
      <x:c r="C166" s="83" t="n">
        <x:v>32</x:v>
      </x:c>
      <x:c r="D166" s="83" t="n">
        <x:v>26</x:v>
      </x:c>
      <x:c r="E166" s="83" t="n">
        <x:v>1</x:v>
      </x:c>
      <x:c r="F166" s="83" t="n">
        <x:v>1</x:v>
      </x:c>
      <x:c r="G166" s="83" t="n">
        <x:v>4</x:v>
      </x:c>
      <x:c r="H166" s="83" t="n">
        <x:v>0</x:v>
      </x:c>
      <x:c r="I166" s="81" t="str">
        <x:v>Covered</x:v>
      </x:c>
    </x:row>
    <x:row r="167" ht="21.600000381469727" hidden="0" customHeight="1">
      <x:c r="A167" s="80" t="str">
        <x:v>docs/99_Archive/02_Architecture_Decision_Records/ADR-007_Multi_Game_Support/ADR-007_Multi_Game_Support_DE_v1_Complete.docx</x:v>
      </x:c>
      <x:c r="B167" s="80" t="str">
        <x:v>paragraph, table</x:v>
      </x:c>
      <x:c r="C167" s="82" t="n">
        <x:v>503</x:v>
      </x:c>
      <x:c r="D167" s="82" t="n">
        <x:v>371</x:v>
      </x:c>
      <x:c r="E167" s="82" t="n">
        <x:v>51</x:v>
      </x:c>
      <x:c r="F167" s="82" t="n">
        <x:v>0</x:v>
      </x:c>
      <x:c r="G167" s="82" t="n">
        <x:v>81</x:v>
      </x:c>
      <x:c r="H167" s="82" t="n">
        <x:v>0</x:v>
      </x:c>
      <x:c r="I167" s="80" t="str">
        <x:v>Covered</x:v>
      </x:c>
    </x:row>
    <x:row r="168" ht="21.600000381469727" hidden="0" customHeight="1">
      <x:c r="A168" s="81" t="str">
        <x:v>docs/99_Archive/02_Architecture_Decision_Records/ADR-007_Multi_Game_Support/ADR-007_Multi_Game_Support_RU_v1_Complete.docx</x:v>
      </x:c>
      <x:c r="B168" s="81" t="str">
        <x:v>paragraph, table</x:v>
      </x:c>
      <x:c r="C168" s="83" t="n">
        <x:v>503</x:v>
      </x:c>
      <x:c r="D168" s="83" t="n">
        <x:v>371</x:v>
      </x:c>
      <x:c r="E168" s="83" t="n">
        <x:v>51</x:v>
      </x:c>
      <x:c r="F168" s="83" t="n">
        <x:v>0</x:v>
      </x:c>
      <x:c r="G168" s="83" t="n">
        <x:v>81</x:v>
      </x:c>
      <x:c r="H168" s="83" t="n">
        <x:v>0</x:v>
      </x:c>
      <x:c r="I168" s="81" t="str">
        <x:v>Covered</x:v>
      </x:c>
    </x:row>
    <x:row r="169" ht="15" hidden="0" customHeight="1">
      <x:c r="A169" s="80" t="str">
        <x:v>docs/99_Archive/03_Modules/MOD-001_Core/MOD-001_Core_DE_v1_1_Audited_Complete.docx</x:v>
      </x:c>
      <x:c r="B169" s="80" t="str">
        <x:v>paragraph, table</x:v>
      </x:c>
      <x:c r="C169" s="82" t="n">
        <x:v>475</x:v>
      </x:c>
      <x:c r="D169" s="82" t="n">
        <x:v>299</x:v>
      </x:c>
      <x:c r="E169" s="82" t="n">
        <x:v>83</x:v>
      </x:c>
      <x:c r="F169" s="82" t="n">
        <x:v>0</x:v>
      </x:c>
      <x:c r="G169" s="82" t="n">
        <x:v>93</x:v>
      </x:c>
      <x:c r="H169" s="82" t="n">
        <x:v>0</x:v>
      </x:c>
      <x:c r="I169" s="80" t="str">
        <x:v>Covered</x:v>
      </x:c>
    </x:row>
    <x:row r="170" ht="15" hidden="0" customHeight="1">
      <x:c r="A170" s="81" t="str">
        <x:v>docs/99_Archive/03_Modules/MOD-001_Core/MOD-001_Core_RU_v1_1_Audited_Complete.docx</x:v>
      </x:c>
      <x:c r="B170" s="81" t="str">
        <x:v>paragraph, table</x:v>
      </x:c>
      <x:c r="C170" s="83" t="n">
        <x:v>475</x:v>
      </x:c>
      <x:c r="D170" s="83" t="n">
        <x:v>295</x:v>
      </x:c>
      <x:c r="E170" s="83" t="n">
        <x:v>87</x:v>
      </x:c>
      <x:c r="F170" s="83" t="n">
        <x:v>0</x:v>
      </x:c>
      <x:c r="G170" s="83" t="n">
        <x:v>93</x:v>
      </x:c>
      <x:c r="H170" s="83" t="n">
        <x:v>0</x:v>
      </x:c>
      <x:c r="I170" s="81" t="str">
        <x:v>Covered</x:v>
      </x:c>
    </x:row>
  </x:sheetData>
  <x:conditionalFormatting sqref="I5:I170">
    <x:cfRule type="containsText" dxfId="16" priority="1" operator="containsText" text="Covered"/>
  </x:conditionalFormatting>
  <x:pageMargins left="0.7" right="0.7" top="0.75" bottom="0.75" header="0.3" footer="0.3"/>
  <x:tableParts count="1">
    <x:tablePart xmlns:r="http://schemas.openxmlformats.org/officeDocument/2006/relationships" r:id="R2aea0fe22a1c49c2"/>
  </x:tableParts>
</x:worksheet>
</file>

<file path=xl/worksheets/sheet6.xml><?xml version="1.0" encoding="utf-8"?>
<x:worksheet xmlns:x="http://schemas.openxmlformats.org/spreadsheetml/2006/main">
  <x:sheetPr>
    <x:tabColor rgb="FF3F3296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62" hidden="0" customWidth="1"/>
    <x:col min="2" max="2" width="72" hidden="0" customWidth="1"/>
    <x:col min="3" max="3" width="30" hidden="0" customWidth="1"/>
    <x:col min="4" max="4" width="12" hidden="0" customWidth="1"/>
    <x:col min="5" max="5" width="16" hidden="0" customWidth="1"/>
    <x:col min="6" max="6" width="66" hidden="0" customWidth="1"/>
  </x:cols>
  <x:sheetData>
    <x:row r="1" ht="26" customHeight="1">
      <x:c r="A1" s="61" t="str">
        <x:v>Images and diagrams</x:v>
      </x:c>
      <x:c r="B1" s="61"/>
      <x:c r="C1" s="61"/>
      <x:c r="D1" s="61"/>
      <x:c r="E1" s="61"/>
      <x:c r="F1" s="61"/>
    </x:row>
    <x:row r="2" ht="20" customHeight="1">
      <x:c r="A2" s="62" t="str">
        <x:v>Standalone architecture assets and images embedded from historical DOCX sources into the complete documents.</x:v>
      </x:c>
      <x:c r="B2" s="62"/>
      <x:c r="C2" s="62"/>
      <x:c r="D2" s="62"/>
      <x:c r="E2" s="62"/>
      <x:c r="F2" s="62"/>
    </x:row>
    <x:row r="4" ht="34" customHeight="1">
      <x:c r="A4" s="74" t="str">
        <x:v>Output document</x:v>
      </x:c>
      <x:c r="B4" s="75" t="str">
        <x:v>Source file</x:v>
      </x:c>
      <x:c r="C4" s="75" t="str">
        <x:v>Source locator</x:v>
      </x:c>
      <x:c r="D4" s="75" t="str">
        <x:v>Kind</x:v>
      </x:c>
      <x:c r="E4" s="75" t="str">
        <x:v>Coverage</x:v>
      </x:c>
      <x:c r="F4" s="76" t="str">
        <x:v>Content SHA-256</x:v>
      </x:c>
    </x:row>
    <x:row r="5" ht="21.600000381469727" hidden="0" customHeight="1">
      <x:c r="A5" s="80" t="str">
        <x:v>ARCH-006_Component_Diagram_DE_v2_0_Full_Content_Audited_Complete.docx</x:v>
      </x:c>
      <x:c r="B5" s="80" t="str">
        <x:v>docs/01_Architecture/ARCH-006_Component_Diagram/ARCH-006_Component_Diagram_v1_2_Architecture_Audited.svg</x:v>
      </x:c>
      <x:c r="C5" s="80" t="str">
        <x:v>file</x:v>
      </x:c>
      <x:c r="D5" s="80" t="str">
        <x:v>asset</x:v>
      </x:c>
      <x:c r="E5" s="80" t="str">
        <x:v>included</x:v>
      </x:c>
      <x:c r="F5" s="80" t="str">
        <x:v>89278869acc0e7d23d344c9fd6aa71301c9bb38c7a136b1708e02a0ed65ee2fe</x:v>
      </x:c>
    </x:row>
    <x:row r="6" ht="21.600000381469727" hidden="0" customHeight="1">
      <x:c r="A6" s="81" t="str">
        <x:v>ARCH-006_Component_Diagram_DE_v2_0_Full_Content_Audited_Complete.docx</x:v>
      </x:c>
      <x:c r="B6" s="81" t="str">
        <x:v>docs/99_Archive/01_Architecture/ARCH-006_Component_Diagram/ARCH-006_World_Engine_Component_Diagram_v1_0.jpg</x:v>
      </x:c>
      <x:c r="C6" s="81" t="str">
        <x:v>file</x:v>
      </x:c>
      <x:c r="D6" s="81" t="str">
        <x:v>asset</x:v>
      </x:c>
      <x:c r="E6" s="81" t="str">
        <x:v>included</x:v>
      </x:c>
      <x:c r="F6" s="81" t="str">
        <x:v>aa8535efa6d4934deeb3de76c5093c1e3b068fa573ae1e43dc3437fa47921efb</x:v>
      </x:c>
    </x:row>
    <x:row r="7" ht="21.600000381469727" hidden="0" customHeight="1">
      <x:c r="A7" s="80" t="str">
        <x:v>ARCH-006_Component_Diagram_RU_v2_0_Full_Content_Audited_Complete.docx</x:v>
      </x:c>
      <x:c r="B7" s="80" t="str">
        <x:v>docs/01_Architecture/ARCH-006_Component_Diagram/ARCH-006_Component_Diagram_v1_2_Architecture_Audited.svg</x:v>
      </x:c>
      <x:c r="C7" s="80" t="str">
        <x:v>file</x:v>
      </x:c>
      <x:c r="D7" s="80" t="str">
        <x:v>asset</x:v>
      </x:c>
      <x:c r="E7" s="80" t="str">
        <x:v>included</x:v>
      </x:c>
      <x:c r="F7" s="80" t="str">
        <x:v>89278869acc0e7d23d344c9fd6aa71301c9bb38c7a136b1708e02a0ed65ee2fe</x:v>
      </x:c>
    </x:row>
    <x:row r="8" ht="21.600000381469727" hidden="0" customHeight="1">
      <x:c r="A8" s="81" t="str">
        <x:v>ARCH-006_Component_Diagram_RU_v2_0_Full_Content_Audited_Complete.docx</x:v>
      </x:c>
      <x:c r="B8" s="81" t="str">
        <x:v>docs/99_Archive/01_Architecture/ARCH-006_Component_Diagram/ARCH-006_World_Engine_Component_Diagram_v1_0.jpg</x:v>
      </x:c>
      <x:c r="C8" s="81" t="str">
        <x:v>file</x:v>
      </x:c>
      <x:c r="D8" s="81" t="str">
        <x:v>asset</x:v>
      </x:c>
      <x:c r="E8" s="81" t="str">
        <x:v>included</x:v>
      </x:c>
      <x:c r="F8" s="81" t="str">
        <x:v>aa8535efa6d4934deeb3de76c5093c1e3b068fa573ae1e43dc3437fa47921efb</x:v>
      </x:c>
    </x:row>
    <x:row r="9" ht="15" hidden="0" customHeight="1">
      <x:c r="A9" s="80" t="str">
        <x:v>ARCH-007_Sequence_Diagrams_DE_v5_0_Full_Content_Audited_Complete.docx</x:v>
      </x:c>
      <x:c r="B9" s="80" t="str">
        <x:v>docs/99_Archive/01_Architecture/ARCH-007_Sequence_Diagrams/ARCH-007_Sequence_Diagrams_DE_v2_Final.docx</x:v>
      </x:c>
      <x:c r="C9" s="80" t="str">
        <x:v>body/p[101]/image[1]</x:v>
      </x:c>
      <x:c r="D9" s="80" t="str">
        <x:v>image</x:v>
      </x:c>
      <x:c r="E9" s="80" t="str">
        <x:v>included</x:v>
      </x:c>
      <x:c r="F9" s="80" t="str">
        <x:v>56cc38b554a5c1dff923fdd203d04f187cac359ee2fe8a36d2571693710336fd</x:v>
      </x:c>
    </x:row>
    <x:row r="10" ht="15" hidden="0" customHeight="1">
      <x:c r="A10" s="81" t="str">
        <x:v>ARCH-007_Sequence_Diagrams_DE_v5_0_Full_Content_Audited_Complete.docx</x:v>
      </x:c>
      <x:c r="B10" s="81" t="str">
        <x:v>docs/99_Archive/01_Architecture/ARCH-007_Sequence_Diagrams/ARCH-007_Sequence_Diagrams_DE_v2_Final.docx</x:v>
      </x:c>
      <x:c r="C10" s="81" t="str">
        <x:v>body/p[183]/image[1]</x:v>
      </x:c>
      <x:c r="D10" s="81" t="str">
        <x:v>image</x:v>
      </x:c>
      <x:c r="E10" s="81" t="str">
        <x:v>included</x:v>
      </x:c>
      <x:c r="F10" s="81" t="str">
        <x:v>fe76481bce77263dd8f4b2920c74bc9a0e7acfcccde37e7ff58278cd2598e7a6</x:v>
      </x:c>
    </x:row>
    <x:row r="11" ht="15" hidden="0" customHeight="1">
      <x:c r="A11" s="80" t="str">
        <x:v>ARCH-007_Sequence_Diagrams_DE_v5_0_Full_Content_Audited_Complete.docx</x:v>
      </x:c>
      <x:c r="B11" s="80" t="str">
        <x:v>docs/99_Archive/01_Architecture/ARCH-007_Sequence_Diagrams/ARCH-007_Sequence_Diagrams_DE_v2_Final.docx</x:v>
      </x:c>
      <x:c r="C11" s="80" t="str">
        <x:v>body/p[275]/image[1]</x:v>
      </x:c>
      <x:c r="D11" s="80" t="str">
        <x:v>image</x:v>
      </x:c>
      <x:c r="E11" s="80" t="str">
        <x:v>included</x:v>
      </x:c>
      <x:c r="F11" s="80" t="str">
        <x:v>012af51b5de3b0aa81d5024edb2d3e1bccf7c63d88ffe39066c94bcc7452c534</x:v>
      </x:c>
    </x:row>
    <x:row r="12" ht="15" hidden="0" customHeight="1">
      <x:c r="A12" s="81" t="str">
        <x:v>ARCH-007_Sequence_Diagrams_DE_v5_0_Full_Content_Audited_Complete.docx</x:v>
      </x:c>
      <x:c r="B12" s="81" t="str">
        <x:v>docs/99_Archive/01_Architecture/ARCH-007_Sequence_Diagrams/ARCH-007_Sequence_Diagrams_DE_v2_Final.docx</x:v>
      </x:c>
      <x:c r="C12" s="81" t="str">
        <x:v>body/p[351]/image[1]</x:v>
      </x:c>
      <x:c r="D12" s="81" t="str">
        <x:v>image</x:v>
      </x:c>
      <x:c r="E12" s="81" t="str">
        <x:v>included</x:v>
      </x:c>
      <x:c r="F12" s="81" t="str">
        <x:v>911d96ae9ce6e42d340ee68803df089667ba661595e5fd6416b79b7b6cc0f4ba</x:v>
      </x:c>
    </x:row>
    <x:row r="13" ht="15" hidden="0" customHeight="1">
      <x:c r="A13" s="80" t="str">
        <x:v>ARCH-007_Sequence_Diagrams_DE_v5_0_Full_Content_Audited_Complete.docx</x:v>
      </x:c>
      <x:c r="B13" s="80" t="str">
        <x:v>docs/99_Archive/01_Architecture/ARCH-007_Sequence_Diagrams/ARCH-007_Sequence_Diagrams_DE_v2_Final.docx</x:v>
      </x:c>
      <x:c r="C13" s="80" t="str">
        <x:v>body/p[433]/image[1]</x:v>
      </x:c>
      <x:c r="D13" s="80" t="str">
        <x:v>image</x:v>
      </x:c>
      <x:c r="E13" s="80" t="str">
        <x:v>included</x:v>
      </x:c>
      <x:c r="F13" s="80" t="str">
        <x:v>5b64061d47d827507c016274be68af3c1522416127edd1c0c27ef11b6d145e77</x:v>
      </x:c>
    </x:row>
    <x:row r="14" ht="15" hidden="0" customHeight="1">
      <x:c r="A14" s="81" t="str">
        <x:v>ARCH-007_Sequence_Diagrams_DE_v5_0_Full_Content_Audited_Complete.docx</x:v>
      </x:c>
      <x:c r="B14" s="81" t="str">
        <x:v>docs/99_Archive/01_Architecture/ARCH-007_Sequence_Diagrams/ARCH-007_Sequence_Diagrams_DE_v2_Final.docx</x:v>
      </x:c>
      <x:c r="C14" s="81" t="str">
        <x:v>body/p[519]/image[1]</x:v>
      </x:c>
      <x:c r="D14" s="81" t="str">
        <x:v>image</x:v>
      </x:c>
      <x:c r="E14" s="81" t="str">
        <x:v>included</x:v>
      </x:c>
      <x:c r="F14" s="81" t="str">
        <x:v>b4bceb2f5f9a776eadb1842be65e1953944d7c20d450e9f119729802c33d18c5</x:v>
      </x:c>
    </x:row>
    <x:row r="15" ht="15" hidden="0" customHeight="1">
      <x:c r="A15" s="80" t="str">
        <x:v>ARCH-007_Sequence_Diagrams_DE_v5_0_Full_Content_Audited_Complete.docx</x:v>
      </x:c>
      <x:c r="B15" s="80" t="str">
        <x:v>docs/99_Archive/01_Architecture/ARCH-007_Sequence_Diagrams/ARCH-007_Sequence_Diagrams_DE_v2_Final.docx</x:v>
      </x:c>
      <x:c r="C15" s="80" t="str">
        <x:v>body/p[615]/image[1]</x:v>
      </x:c>
      <x:c r="D15" s="80" t="str">
        <x:v>image</x:v>
      </x:c>
      <x:c r="E15" s="80" t="str">
        <x:v>included</x:v>
      </x:c>
      <x:c r="F15" s="80" t="str">
        <x:v>e451cbf473a5f45502aa42d1b3a71a05a2f0f2387c5837acbad1bac981a9178e</x:v>
      </x:c>
    </x:row>
    <x:row r="16" ht="15" hidden="0" customHeight="1">
      <x:c r="A16" s="81" t="str">
        <x:v>ARCH-007_Sequence_Diagrams_DE_v5_0_Full_Content_Audited_Complete.docx</x:v>
      </x:c>
      <x:c r="B16" s="81" t="str">
        <x:v>docs/99_Archive/01_Architecture/ARCH-007_Sequence_Diagrams/ARCH-007_Sequence_Diagrams_DE_v2_Final.docx</x:v>
      </x:c>
      <x:c r="C16" s="81" t="str">
        <x:v>body/p[674]/image[1]</x:v>
      </x:c>
      <x:c r="D16" s="81" t="str">
        <x:v>image</x:v>
      </x:c>
      <x:c r="E16" s="81" t="str">
        <x:v>included</x:v>
      </x:c>
      <x:c r="F16" s="81" t="str">
        <x:v>92adca413c4813fda9f541024b2570b6fa7166b1793f2f2ae94f6b38be6e99cb</x:v>
      </x:c>
    </x:row>
    <x:row r="17" ht="15" hidden="0" customHeight="1">
      <x:c r="A17" s="80" t="str">
        <x:v>ARCH-007_Sequence_Diagrams_RU_v5_0_Full_Content_Audited_Complete.docx</x:v>
      </x:c>
      <x:c r="B17" s="80" t="str">
        <x:v>docs/99_Archive/01_Architecture/ARCH-007_Sequence_Diagrams/ARCH-007_Sequence_Diagrams_RU_v2_Final.docx</x:v>
      </x:c>
      <x:c r="C17" s="80" t="str">
        <x:v>body/p[133]/image[1]</x:v>
      </x:c>
      <x:c r="D17" s="80" t="str">
        <x:v>image</x:v>
      </x:c>
      <x:c r="E17" s="80" t="str">
        <x:v>included</x:v>
      </x:c>
      <x:c r="F17" s="80" t="str">
        <x:v>ecd9d6748f2b325c33112f99d77e60d1957f209e2b833567ae085fe51219c03a</x:v>
      </x:c>
    </x:row>
    <x:row r="18" ht="15" hidden="0" customHeight="1">
      <x:c r="A18" s="81" t="str">
        <x:v>ARCH-007_Sequence_Diagrams_RU_v5_0_Full_Content_Audited_Complete.docx</x:v>
      </x:c>
      <x:c r="B18" s="81" t="str">
        <x:v>docs/99_Archive/01_Architecture/ARCH-007_Sequence_Diagrams/ARCH-007_Sequence_Diagrams_RU_v2_Final.docx</x:v>
      </x:c>
      <x:c r="C18" s="81" t="str">
        <x:v>body/p[216]/image[1]</x:v>
      </x:c>
      <x:c r="D18" s="81" t="str">
        <x:v>image</x:v>
      </x:c>
      <x:c r="E18" s="81" t="str">
        <x:v>included</x:v>
      </x:c>
      <x:c r="F18" s="81" t="str">
        <x:v>c7af76206d456d10b7f11ec29c6c49b778dbba0daed0d414a5494eb2a729b08d</x:v>
      </x:c>
    </x:row>
    <x:row r="19" ht="15" hidden="0" customHeight="1">
      <x:c r="A19" s="80" t="str">
        <x:v>ARCH-007_Sequence_Diagrams_RU_v5_0_Full_Content_Audited_Complete.docx</x:v>
      </x:c>
      <x:c r="B19" s="80" t="str">
        <x:v>docs/99_Archive/01_Architecture/ARCH-007_Sequence_Diagrams/ARCH-007_Sequence_Diagrams_RU_v2_Final.docx</x:v>
      </x:c>
      <x:c r="C19" s="80" t="str">
        <x:v>body/p[309]/image[1]</x:v>
      </x:c>
      <x:c r="D19" s="80" t="str">
        <x:v>image</x:v>
      </x:c>
      <x:c r="E19" s="80" t="str">
        <x:v>included</x:v>
      </x:c>
      <x:c r="F19" s="80" t="str">
        <x:v>d573d942f94356c253c879257d5d55301fcf6a67a4470e4ce8eb5cc163587dc8</x:v>
      </x:c>
    </x:row>
    <x:row r="20" ht="15" hidden="0" customHeight="1">
      <x:c r="A20" s="81" t="str">
        <x:v>ARCH-007_Sequence_Diagrams_RU_v5_0_Full_Content_Audited_Complete.docx</x:v>
      </x:c>
      <x:c r="B20" s="81" t="str">
        <x:v>docs/99_Archive/01_Architecture/ARCH-007_Sequence_Diagrams/ARCH-007_Sequence_Diagrams_RU_v2_Final.docx</x:v>
      </x:c>
      <x:c r="C20" s="81" t="str">
        <x:v>body/p[386]/image[1]</x:v>
      </x:c>
      <x:c r="D20" s="81" t="str">
        <x:v>image</x:v>
      </x:c>
      <x:c r="E20" s="81" t="str">
        <x:v>included</x:v>
      </x:c>
      <x:c r="F20" s="81" t="str">
        <x:v>a907d6a2484d867536619c3d87cdcc06e9f5e35737d1e7646555e19964a4769b</x:v>
      </x:c>
    </x:row>
    <x:row r="21" ht="15" hidden="0" customHeight="1">
      <x:c r="A21" s="80" t="str">
        <x:v>ARCH-007_Sequence_Diagrams_RU_v5_0_Full_Content_Audited_Complete.docx</x:v>
      </x:c>
      <x:c r="B21" s="80" t="str">
        <x:v>docs/99_Archive/01_Architecture/ARCH-007_Sequence_Diagrams/ARCH-007_Sequence_Diagrams_RU_v2_Final.docx</x:v>
      </x:c>
      <x:c r="C21" s="80" t="str">
        <x:v>body/p[469]/image[1]</x:v>
      </x:c>
      <x:c r="D21" s="80" t="str">
        <x:v>image</x:v>
      </x:c>
      <x:c r="E21" s="80" t="str">
        <x:v>included</x:v>
      </x:c>
      <x:c r="F21" s="80" t="str">
        <x:v>71613802ca8ee816a3be7e06a8b72d70fad7ef9e922fa81a84648578327dc3a0</x:v>
      </x:c>
    </x:row>
    <x:row r="22" ht="15" hidden="0" customHeight="1">
      <x:c r="A22" s="81" t="str">
        <x:v>ARCH-007_Sequence_Diagrams_RU_v5_0_Full_Content_Audited_Complete.docx</x:v>
      </x:c>
      <x:c r="B22" s="81" t="str">
        <x:v>docs/99_Archive/01_Architecture/ARCH-007_Sequence_Diagrams/ARCH-007_Sequence_Diagrams_RU_v2_Final.docx</x:v>
      </x:c>
      <x:c r="C22" s="81" t="str">
        <x:v>body/p[556]/image[1]</x:v>
      </x:c>
      <x:c r="D22" s="81" t="str">
        <x:v>image</x:v>
      </x:c>
      <x:c r="E22" s="81" t="str">
        <x:v>included</x:v>
      </x:c>
      <x:c r="F22" s="81" t="str">
        <x:v>3559ad2503e764d50fc1e5908b530599df7d3698500f4c1260bebdeb0a8b1d47</x:v>
      </x:c>
    </x:row>
    <x:row r="23" ht="15" hidden="0" customHeight="1">
      <x:c r="A23" s="80" t="str">
        <x:v>ARCH-007_Sequence_Diagrams_RU_v5_0_Full_Content_Audited_Complete.docx</x:v>
      </x:c>
      <x:c r="B23" s="80" t="str">
        <x:v>docs/99_Archive/01_Architecture/ARCH-007_Sequence_Diagrams/ARCH-007_Sequence_Diagrams_RU_v2_Final.docx</x:v>
      </x:c>
      <x:c r="C23" s="80" t="str">
        <x:v>body/p[653]/image[1]</x:v>
      </x:c>
      <x:c r="D23" s="80" t="str">
        <x:v>image</x:v>
      </x:c>
      <x:c r="E23" s="80" t="str">
        <x:v>included</x:v>
      </x:c>
      <x:c r="F23" s="80" t="str">
        <x:v>cb5ff91ef2ba8a6a6df6dcd1d497afa2a3ae69a5448ed49b16ff6f0232c6a322</x:v>
      </x:c>
    </x:row>
    <x:row r="24" ht="15" hidden="0" customHeight="1">
      <x:c r="A24" s="81" t="str">
        <x:v>ARCH-007_Sequence_Diagrams_RU_v5_0_Full_Content_Audited_Complete.docx</x:v>
      </x:c>
      <x:c r="B24" s="81" t="str">
        <x:v>docs/99_Archive/01_Architecture/ARCH-007_Sequence_Diagrams/ARCH-007_Sequence_Diagrams_RU_v2_Final.docx</x:v>
      </x:c>
      <x:c r="C24" s="81" t="str">
        <x:v>body/p[713]/image[1]</x:v>
      </x:c>
      <x:c r="D24" s="81" t="str">
        <x:v>image</x:v>
      </x:c>
      <x:c r="E24" s="81" t="str">
        <x:v>included</x:v>
      </x:c>
      <x:c r="F24" s="81" t="str">
        <x:v>6a0a7c71d030d344489a8a8e4efe533d14855ca9a68a8c63df3be899a8bfefc5</x:v>
      </x:c>
    </x:row>
  </x:sheetData>
  <x:conditionalFormatting sqref="E5:E24">
    <x:cfRule type="containsText" dxfId="17" priority="1" operator="containsText" text="included"/>
  </x:conditionalFormatting>
  <x:pageMargins left="0.7" right="0.7" top="0.75" bottom="0.75" header="0.3" footer="0.3"/>
  <x:tableParts count="1">
    <x:tablePart xmlns:r="http://schemas.openxmlformats.org/officeDocument/2006/relationships" r:id="R6eb2dcdc6efa465b"/>
  </x:tableParts>
</x:worksheet>
</file>